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viloria\Downloads\"/>
    </mc:Choice>
  </mc:AlternateContent>
  <xr:revisionPtr revIDLastSave="0" documentId="13_ncr:1_{DBB4C360-946C-4813-B213-6A371FF3660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Instrucciones de uso" sheetId="4" r:id="rId1"/>
    <sheet name="Hoja 1 - Área y fuentes" sheetId="1" r:id="rId2"/>
    <sheet name="Hoja 2 - Histórico" sheetId="2" r:id="rId3"/>
    <sheet name="Hoja 3 - Proyeccione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11" i="3" l="1"/>
  <c r="N210" i="3"/>
  <c r="N209" i="3"/>
  <c r="N208" i="3"/>
  <c r="N207" i="3"/>
  <c r="N206" i="3"/>
  <c r="N205" i="3"/>
  <c r="N204" i="3"/>
  <c r="N203" i="3"/>
  <c r="N202" i="3"/>
  <c r="N201" i="3"/>
  <c r="N200" i="3"/>
  <c r="N199" i="3"/>
  <c r="N198" i="3"/>
  <c r="N197" i="3"/>
  <c r="N196" i="3"/>
  <c r="N195" i="3"/>
  <c r="N194" i="3"/>
  <c r="N193" i="3"/>
  <c r="N192" i="3"/>
  <c r="N191" i="3"/>
  <c r="N190" i="3"/>
  <c r="N189" i="3"/>
  <c r="N188" i="3"/>
  <c r="N187" i="3"/>
  <c r="N186" i="3"/>
  <c r="N185" i="3"/>
  <c r="N184" i="3"/>
  <c r="N183" i="3"/>
  <c r="N182" i="3"/>
  <c r="N181" i="3"/>
  <c r="N180" i="3"/>
  <c r="N179" i="3"/>
  <c r="N178" i="3"/>
  <c r="N177" i="3"/>
  <c r="N176" i="3"/>
  <c r="N175" i="3"/>
  <c r="N174" i="3"/>
  <c r="N173" i="3"/>
  <c r="N172" i="3"/>
  <c r="N171" i="3"/>
  <c r="N170" i="3"/>
  <c r="N169" i="3"/>
  <c r="N168" i="3"/>
  <c r="N167" i="3"/>
  <c r="N166" i="3"/>
  <c r="N165" i="3"/>
  <c r="N164" i="3"/>
  <c r="N163" i="3"/>
  <c r="N162" i="3"/>
  <c r="N161" i="3"/>
  <c r="N160" i="3"/>
  <c r="N159" i="3"/>
  <c r="N158" i="3"/>
  <c r="N157" i="3"/>
  <c r="N156" i="3"/>
  <c r="N155" i="3"/>
  <c r="N154" i="3"/>
  <c r="N153" i="3"/>
  <c r="N152" i="3"/>
  <c r="N151" i="3"/>
  <c r="N150" i="3"/>
  <c r="N149" i="3"/>
  <c r="N148" i="3"/>
  <c r="N147" i="3"/>
  <c r="N146" i="3"/>
  <c r="N145" i="3"/>
  <c r="N144" i="3"/>
  <c r="N143" i="3"/>
  <c r="N142" i="3"/>
  <c r="N141" i="3"/>
  <c r="N140" i="3"/>
  <c r="N139" i="3"/>
  <c r="N138" i="3"/>
  <c r="N137" i="3"/>
  <c r="N136" i="3"/>
  <c r="N135" i="3"/>
  <c r="N134" i="3"/>
  <c r="N133" i="3"/>
  <c r="N132" i="3"/>
  <c r="N131" i="3"/>
  <c r="N130" i="3"/>
  <c r="N129" i="3"/>
  <c r="N128" i="3"/>
  <c r="N127" i="3"/>
  <c r="N126" i="3"/>
  <c r="N125" i="3"/>
  <c r="N124" i="3"/>
  <c r="N123" i="3"/>
  <c r="N122" i="3"/>
  <c r="N121" i="3"/>
  <c r="N120" i="3"/>
  <c r="N119" i="3"/>
  <c r="N118" i="3"/>
  <c r="N117" i="3"/>
  <c r="N116" i="3"/>
  <c r="N115" i="3"/>
  <c r="N114" i="3"/>
  <c r="N113" i="3"/>
  <c r="N112" i="3"/>
  <c r="N111" i="3"/>
  <c r="N110" i="3"/>
  <c r="N109" i="3"/>
  <c r="N108" i="3"/>
  <c r="N107" i="3"/>
  <c r="N106" i="3"/>
  <c r="N105" i="3"/>
  <c r="N104" i="3"/>
  <c r="N103" i="3"/>
  <c r="N102" i="3"/>
  <c r="N101" i="3"/>
  <c r="N100" i="3"/>
  <c r="N99" i="3"/>
  <c r="N98" i="3"/>
  <c r="N97" i="3"/>
  <c r="N96" i="3"/>
  <c r="N95" i="3"/>
  <c r="N94" i="3"/>
  <c r="N93" i="3"/>
  <c r="N92" i="3"/>
  <c r="N91" i="3"/>
  <c r="N90" i="3"/>
  <c r="N89" i="3"/>
  <c r="N88" i="3"/>
  <c r="N87" i="3"/>
  <c r="N86" i="3"/>
  <c r="N85" i="3"/>
  <c r="N84" i="3"/>
  <c r="N83" i="3"/>
  <c r="N82" i="3"/>
  <c r="N81" i="3"/>
  <c r="N80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S23" i="3"/>
  <c r="N23" i="3"/>
  <c r="S22" i="3"/>
  <c r="N22" i="3"/>
  <c r="S21" i="3"/>
  <c r="N21" i="3"/>
  <c r="S20" i="3"/>
  <c r="N20" i="3"/>
  <c r="S19" i="3"/>
  <c r="S18" i="3"/>
  <c r="S17" i="3"/>
  <c r="S16" i="3"/>
  <c r="S15" i="3"/>
  <c r="S14" i="3"/>
  <c r="S13" i="3"/>
  <c r="S12" i="3"/>
  <c r="Z11" i="3"/>
  <c r="Y11" i="3"/>
  <c r="X11" i="3"/>
  <c r="W11" i="3"/>
  <c r="S11" i="3"/>
  <c r="Z10" i="3"/>
  <c r="Y10" i="3"/>
  <c r="X10" i="3"/>
  <c r="W10" i="3"/>
  <c r="S10" i="3"/>
  <c r="Z9" i="3"/>
  <c r="Y9" i="3"/>
  <c r="X9" i="3"/>
  <c r="W9" i="3"/>
  <c r="S9" i="3"/>
  <c r="Z8" i="3"/>
  <c r="Y8" i="3"/>
  <c r="X8" i="3"/>
  <c r="W8" i="3"/>
  <c r="S8" i="3"/>
  <c r="F8" i="3"/>
  <c r="N10" i="3" s="1"/>
  <c r="D8" i="3"/>
  <c r="L379" i="2"/>
  <c r="J379" i="2"/>
  <c r="F379" i="2"/>
  <c r="E379" i="2"/>
  <c r="L378" i="2"/>
  <c r="J378" i="2"/>
  <c r="F378" i="2"/>
  <c r="E378" i="2"/>
  <c r="L377" i="2"/>
  <c r="J377" i="2"/>
  <c r="F377" i="2"/>
  <c r="E377" i="2"/>
  <c r="L376" i="2"/>
  <c r="J376" i="2"/>
  <c r="F376" i="2"/>
  <c r="E376" i="2"/>
  <c r="L375" i="2"/>
  <c r="J375" i="2"/>
  <c r="F375" i="2"/>
  <c r="E375" i="2"/>
  <c r="L374" i="2"/>
  <c r="J374" i="2"/>
  <c r="F374" i="2"/>
  <c r="E374" i="2"/>
  <c r="L373" i="2"/>
  <c r="J373" i="2"/>
  <c r="F373" i="2"/>
  <c r="E373" i="2"/>
  <c r="L372" i="2"/>
  <c r="J372" i="2"/>
  <c r="F372" i="2"/>
  <c r="E372" i="2"/>
  <c r="L371" i="2"/>
  <c r="J371" i="2"/>
  <c r="F371" i="2"/>
  <c r="E371" i="2"/>
  <c r="L370" i="2"/>
  <c r="J370" i="2"/>
  <c r="F370" i="2"/>
  <c r="E370" i="2"/>
  <c r="L369" i="2"/>
  <c r="J369" i="2"/>
  <c r="F369" i="2"/>
  <c r="E369" i="2"/>
  <c r="L368" i="2"/>
  <c r="J368" i="2"/>
  <c r="F368" i="2"/>
  <c r="E368" i="2"/>
  <c r="L367" i="2"/>
  <c r="J367" i="2"/>
  <c r="F367" i="2"/>
  <c r="E367" i="2"/>
  <c r="L366" i="2"/>
  <c r="J366" i="2"/>
  <c r="F366" i="2"/>
  <c r="E366" i="2"/>
  <c r="L365" i="2"/>
  <c r="J365" i="2"/>
  <c r="F365" i="2"/>
  <c r="E365" i="2"/>
  <c r="L364" i="2"/>
  <c r="J364" i="2"/>
  <c r="F364" i="2"/>
  <c r="E364" i="2"/>
  <c r="L363" i="2"/>
  <c r="J363" i="2"/>
  <c r="F363" i="2"/>
  <c r="E363" i="2"/>
  <c r="L362" i="2"/>
  <c r="J362" i="2"/>
  <c r="F362" i="2"/>
  <c r="E362" i="2"/>
  <c r="L361" i="2"/>
  <c r="J361" i="2"/>
  <c r="F361" i="2"/>
  <c r="E361" i="2"/>
  <c r="L360" i="2"/>
  <c r="J360" i="2"/>
  <c r="F360" i="2"/>
  <c r="E360" i="2"/>
  <c r="L359" i="2"/>
  <c r="J359" i="2"/>
  <c r="F359" i="2"/>
  <c r="E359" i="2"/>
  <c r="L358" i="2"/>
  <c r="J358" i="2"/>
  <c r="F358" i="2"/>
  <c r="E358" i="2"/>
  <c r="L357" i="2"/>
  <c r="J357" i="2"/>
  <c r="F357" i="2"/>
  <c r="E357" i="2"/>
  <c r="L356" i="2"/>
  <c r="J356" i="2"/>
  <c r="F356" i="2"/>
  <c r="E356" i="2"/>
  <c r="L355" i="2"/>
  <c r="J355" i="2"/>
  <c r="F355" i="2"/>
  <c r="E355" i="2"/>
  <c r="L354" i="2"/>
  <c r="J354" i="2"/>
  <c r="F354" i="2"/>
  <c r="E354" i="2"/>
  <c r="L353" i="2"/>
  <c r="J353" i="2"/>
  <c r="F353" i="2"/>
  <c r="E353" i="2"/>
  <c r="L352" i="2"/>
  <c r="J352" i="2"/>
  <c r="F352" i="2"/>
  <c r="E352" i="2"/>
  <c r="L351" i="2"/>
  <c r="J351" i="2"/>
  <c r="F351" i="2"/>
  <c r="E351" i="2"/>
  <c r="L350" i="2"/>
  <c r="J350" i="2"/>
  <c r="F350" i="2"/>
  <c r="E350" i="2"/>
  <c r="L349" i="2"/>
  <c r="J349" i="2"/>
  <c r="F349" i="2"/>
  <c r="E349" i="2"/>
  <c r="L348" i="2"/>
  <c r="J348" i="2"/>
  <c r="F348" i="2"/>
  <c r="E348" i="2"/>
  <c r="L347" i="2"/>
  <c r="J347" i="2"/>
  <c r="F347" i="2"/>
  <c r="E347" i="2"/>
  <c r="L346" i="2"/>
  <c r="J346" i="2"/>
  <c r="F346" i="2"/>
  <c r="E346" i="2"/>
  <c r="L345" i="2"/>
  <c r="J345" i="2"/>
  <c r="F345" i="2"/>
  <c r="E345" i="2"/>
  <c r="L344" i="2"/>
  <c r="J344" i="2"/>
  <c r="F344" i="2"/>
  <c r="E344" i="2"/>
  <c r="L343" i="2"/>
  <c r="J343" i="2"/>
  <c r="F343" i="2"/>
  <c r="E343" i="2"/>
  <c r="L342" i="2"/>
  <c r="J342" i="2"/>
  <c r="F342" i="2"/>
  <c r="E342" i="2"/>
  <c r="L341" i="2"/>
  <c r="J341" i="2"/>
  <c r="F341" i="2"/>
  <c r="E341" i="2"/>
  <c r="L340" i="2"/>
  <c r="J340" i="2"/>
  <c r="F340" i="2"/>
  <c r="E340" i="2"/>
  <c r="L339" i="2"/>
  <c r="J339" i="2"/>
  <c r="F339" i="2"/>
  <c r="E339" i="2"/>
  <c r="L338" i="2"/>
  <c r="J338" i="2"/>
  <c r="F338" i="2"/>
  <c r="E338" i="2"/>
  <c r="L337" i="2"/>
  <c r="J337" i="2"/>
  <c r="F337" i="2"/>
  <c r="E337" i="2"/>
  <c r="L336" i="2"/>
  <c r="J336" i="2"/>
  <c r="F336" i="2"/>
  <c r="E336" i="2"/>
  <c r="L335" i="2"/>
  <c r="J335" i="2"/>
  <c r="F335" i="2"/>
  <c r="E335" i="2"/>
  <c r="L334" i="2"/>
  <c r="J334" i="2"/>
  <c r="F334" i="2"/>
  <c r="E334" i="2"/>
  <c r="L333" i="2"/>
  <c r="J333" i="2"/>
  <c r="F333" i="2"/>
  <c r="E333" i="2"/>
  <c r="L332" i="2"/>
  <c r="J332" i="2"/>
  <c r="F332" i="2"/>
  <c r="E332" i="2"/>
  <c r="L331" i="2"/>
  <c r="J331" i="2"/>
  <c r="F331" i="2"/>
  <c r="E331" i="2"/>
  <c r="L330" i="2"/>
  <c r="J330" i="2"/>
  <c r="F330" i="2"/>
  <c r="E330" i="2"/>
  <c r="L329" i="2"/>
  <c r="J329" i="2"/>
  <c r="F329" i="2"/>
  <c r="E329" i="2"/>
  <c r="L328" i="2"/>
  <c r="J328" i="2"/>
  <c r="F328" i="2"/>
  <c r="E328" i="2"/>
  <c r="L327" i="2"/>
  <c r="J327" i="2"/>
  <c r="F327" i="2"/>
  <c r="E327" i="2"/>
  <c r="L326" i="2"/>
  <c r="J326" i="2"/>
  <c r="F326" i="2"/>
  <c r="E326" i="2"/>
  <c r="L325" i="2"/>
  <c r="J325" i="2"/>
  <c r="F325" i="2"/>
  <c r="E325" i="2"/>
  <c r="L324" i="2"/>
  <c r="J324" i="2"/>
  <c r="F324" i="2"/>
  <c r="E324" i="2"/>
  <c r="L323" i="2"/>
  <c r="J323" i="2"/>
  <c r="F323" i="2"/>
  <c r="E323" i="2"/>
  <c r="L322" i="2"/>
  <c r="J322" i="2"/>
  <c r="F322" i="2"/>
  <c r="E322" i="2"/>
  <c r="L321" i="2"/>
  <c r="J321" i="2"/>
  <c r="F321" i="2"/>
  <c r="E321" i="2"/>
  <c r="L320" i="2"/>
  <c r="J320" i="2"/>
  <c r="F320" i="2"/>
  <c r="E320" i="2"/>
  <c r="L319" i="2"/>
  <c r="J319" i="2"/>
  <c r="F319" i="2"/>
  <c r="E319" i="2"/>
  <c r="L318" i="2"/>
  <c r="J318" i="2"/>
  <c r="F318" i="2"/>
  <c r="E318" i="2"/>
  <c r="L317" i="2"/>
  <c r="J317" i="2"/>
  <c r="F317" i="2"/>
  <c r="E317" i="2"/>
  <c r="L316" i="2"/>
  <c r="J316" i="2"/>
  <c r="F316" i="2"/>
  <c r="E316" i="2"/>
  <c r="L315" i="2"/>
  <c r="J315" i="2"/>
  <c r="F315" i="2"/>
  <c r="E315" i="2"/>
  <c r="L314" i="2"/>
  <c r="J314" i="2"/>
  <c r="F314" i="2"/>
  <c r="E314" i="2"/>
  <c r="L313" i="2"/>
  <c r="J313" i="2"/>
  <c r="F313" i="2"/>
  <c r="E313" i="2"/>
  <c r="L312" i="2"/>
  <c r="J312" i="2"/>
  <c r="F312" i="2"/>
  <c r="E312" i="2"/>
  <c r="L311" i="2"/>
  <c r="J311" i="2"/>
  <c r="F311" i="2"/>
  <c r="E311" i="2"/>
  <c r="L310" i="2"/>
  <c r="J310" i="2"/>
  <c r="F310" i="2"/>
  <c r="E310" i="2"/>
  <c r="L309" i="2"/>
  <c r="J309" i="2"/>
  <c r="F309" i="2"/>
  <c r="E309" i="2"/>
  <c r="L308" i="2"/>
  <c r="J308" i="2"/>
  <c r="F308" i="2"/>
  <c r="E308" i="2"/>
  <c r="L307" i="2"/>
  <c r="J307" i="2"/>
  <c r="F307" i="2"/>
  <c r="E307" i="2"/>
  <c r="L306" i="2"/>
  <c r="J306" i="2"/>
  <c r="F306" i="2"/>
  <c r="E306" i="2"/>
  <c r="L305" i="2"/>
  <c r="J305" i="2"/>
  <c r="F305" i="2"/>
  <c r="E305" i="2"/>
  <c r="L304" i="2"/>
  <c r="J304" i="2"/>
  <c r="F304" i="2"/>
  <c r="E304" i="2"/>
  <c r="L303" i="2"/>
  <c r="J303" i="2"/>
  <c r="F303" i="2"/>
  <c r="E303" i="2"/>
  <c r="L302" i="2"/>
  <c r="J302" i="2"/>
  <c r="F302" i="2"/>
  <c r="E302" i="2"/>
  <c r="L301" i="2"/>
  <c r="J301" i="2"/>
  <c r="F301" i="2"/>
  <c r="E301" i="2"/>
  <c r="L300" i="2"/>
  <c r="J300" i="2"/>
  <c r="F300" i="2"/>
  <c r="E300" i="2"/>
  <c r="L299" i="2"/>
  <c r="J299" i="2"/>
  <c r="F299" i="2"/>
  <c r="E299" i="2"/>
  <c r="L298" i="2"/>
  <c r="J298" i="2"/>
  <c r="F298" i="2"/>
  <c r="E298" i="2"/>
  <c r="L297" i="2"/>
  <c r="J297" i="2"/>
  <c r="F297" i="2"/>
  <c r="E297" i="2"/>
  <c r="L296" i="2"/>
  <c r="J296" i="2"/>
  <c r="F296" i="2"/>
  <c r="E296" i="2"/>
  <c r="L295" i="2"/>
  <c r="J295" i="2"/>
  <c r="F295" i="2"/>
  <c r="E295" i="2"/>
  <c r="L294" i="2"/>
  <c r="J294" i="2"/>
  <c r="F294" i="2"/>
  <c r="E294" i="2"/>
  <c r="L293" i="2"/>
  <c r="J293" i="2"/>
  <c r="F293" i="2"/>
  <c r="E293" i="2"/>
  <c r="L292" i="2"/>
  <c r="J292" i="2"/>
  <c r="F292" i="2"/>
  <c r="E292" i="2"/>
  <c r="L291" i="2"/>
  <c r="J291" i="2"/>
  <c r="F291" i="2"/>
  <c r="E291" i="2"/>
  <c r="L290" i="2"/>
  <c r="J290" i="2"/>
  <c r="F290" i="2"/>
  <c r="E290" i="2"/>
  <c r="L289" i="2"/>
  <c r="J289" i="2"/>
  <c r="F289" i="2"/>
  <c r="E289" i="2"/>
  <c r="L288" i="2"/>
  <c r="J288" i="2"/>
  <c r="F288" i="2"/>
  <c r="E288" i="2"/>
  <c r="L287" i="2"/>
  <c r="J287" i="2"/>
  <c r="F287" i="2"/>
  <c r="E287" i="2"/>
  <c r="L286" i="2"/>
  <c r="J286" i="2"/>
  <c r="F286" i="2"/>
  <c r="E286" i="2"/>
  <c r="L285" i="2"/>
  <c r="J285" i="2"/>
  <c r="F285" i="2"/>
  <c r="E285" i="2"/>
  <c r="L284" i="2"/>
  <c r="J284" i="2"/>
  <c r="F284" i="2"/>
  <c r="E284" i="2"/>
  <c r="L283" i="2"/>
  <c r="J283" i="2"/>
  <c r="F283" i="2"/>
  <c r="E283" i="2"/>
  <c r="L282" i="2"/>
  <c r="J282" i="2"/>
  <c r="F282" i="2"/>
  <c r="E282" i="2"/>
  <c r="L281" i="2"/>
  <c r="J281" i="2"/>
  <c r="F281" i="2"/>
  <c r="E281" i="2"/>
  <c r="L280" i="2"/>
  <c r="J280" i="2"/>
  <c r="F280" i="2"/>
  <c r="E280" i="2"/>
  <c r="L279" i="2"/>
  <c r="J279" i="2"/>
  <c r="F279" i="2"/>
  <c r="E279" i="2"/>
  <c r="L278" i="2"/>
  <c r="J278" i="2"/>
  <c r="F278" i="2"/>
  <c r="E278" i="2"/>
  <c r="L277" i="2"/>
  <c r="J277" i="2"/>
  <c r="F277" i="2"/>
  <c r="E277" i="2"/>
  <c r="L276" i="2"/>
  <c r="J276" i="2"/>
  <c r="F276" i="2"/>
  <c r="E276" i="2"/>
  <c r="L275" i="2"/>
  <c r="J275" i="2"/>
  <c r="F275" i="2"/>
  <c r="E275" i="2"/>
  <c r="L274" i="2"/>
  <c r="J274" i="2"/>
  <c r="F274" i="2"/>
  <c r="E274" i="2"/>
  <c r="L273" i="2"/>
  <c r="J273" i="2"/>
  <c r="F273" i="2"/>
  <c r="E273" i="2"/>
  <c r="L272" i="2"/>
  <c r="J272" i="2"/>
  <c r="F272" i="2"/>
  <c r="E272" i="2"/>
  <c r="L271" i="2"/>
  <c r="J271" i="2"/>
  <c r="F271" i="2"/>
  <c r="E271" i="2"/>
  <c r="L270" i="2"/>
  <c r="J270" i="2"/>
  <c r="F270" i="2"/>
  <c r="E270" i="2"/>
  <c r="L269" i="2"/>
  <c r="J269" i="2"/>
  <c r="F269" i="2"/>
  <c r="E269" i="2"/>
  <c r="L268" i="2"/>
  <c r="J268" i="2"/>
  <c r="F268" i="2"/>
  <c r="E268" i="2"/>
  <c r="L267" i="2"/>
  <c r="J267" i="2"/>
  <c r="F267" i="2"/>
  <c r="E267" i="2"/>
  <c r="L266" i="2"/>
  <c r="J266" i="2"/>
  <c r="F266" i="2"/>
  <c r="E266" i="2"/>
  <c r="L265" i="2"/>
  <c r="J265" i="2"/>
  <c r="F265" i="2"/>
  <c r="E265" i="2"/>
  <c r="L264" i="2"/>
  <c r="J264" i="2"/>
  <c r="F264" i="2"/>
  <c r="E264" i="2"/>
  <c r="L263" i="2"/>
  <c r="J263" i="2"/>
  <c r="F263" i="2"/>
  <c r="E263" i="2"/>
  <c r="L262" i="2"/>
  <c r="J262" i="2"/>
  <c r="F262" i="2"/>
  <c r="E262" i="2"/>
  <c r="L261" i="2"/>
  <c r="J261" i="2"/>
  <c r="F261" i="2"/>
  <c r="E261" i="2"/>
  <c r="L260" i="2"/>
  <c r="J260" i="2"/>
  <c r="F260" i="2"/>
  <c r="E260" i="2"/>
  <c r="L259" i="2"/>
  <c r="J259" i="2"/>
  <c r="F259" i="2"/>
  <c r="E259" i="2"/>
  <c r="L258" i="2"/>
  <c r="J258" i="2"/>
  <c r="F258" i="2"/>
  <c r="E258" i="2"/>
  <c r="L257" i="2"/>
  <c r="J257" i="2"/>
  <c r="F257" i="2"/>
  <c r="E257" i="2"/>
  <c r="L256" i="2"/>
  <c r="J256" i="2"/>
  <c r="F256" i="2"/>
  <c r="E256" i="2"/>
  <c r="L255" i="2"/>
  <c r="J255" i="2"/>
  <c r="F255" i="2"/>
  <c r="E255" i="2"/>
  <c r="L254" i="2"/>
  <c r="J254" i="2"/>
  <c r="F254" i="2"/>
  <c r="E254" i="2"/>
  <c r="L253" i="2"/>
  <c r="J253" i="2"/>
  <c r="F253" i="2"/>
  <c r="E253" i="2"/>
  <c r="L252" i="2"/>
  <c r="J252" i="2"/>
  <c r="F252" i="2"/>
  <c r="E252" i="2"/>
  <c r="L251" i="2"/>
  <c r="J251" i="2"/>
  <c r="F251" i="2"/>
  <c r="E251" i="2"/>
  <c r="L250" i="2"/>
  <c r="J250" i="2"/>
  <c r="F250" i="2"/>
  <c r="E250" i="2"/>
  <c r="L249" i="2"/>
  <c r="J249" i="2"/>
  <c r="F249" i="2"/>
  <c r="E249" i="2"/>
  <c r="L248" i="2"/>
  <c r="J248" i="2"/>
  <c r="F248" i="2"/>
  <c r="E248" i="2"/>
  <c r="L247" i="2"/>
  <c r="J247" i="2"/>
  <c r="F247" i="2"/>
  <c r="E247" i="2"/>
  <c r="L246" i="2"/>
  <c r="J246" i="2"/>
  <c r="F246" i="2"/>
  <c r="E246" i="2"/>
  <c r="L245" i="2"/>
  <c r="J245" i="2"/>
  <c r="F245" i="2"/>
  <c r="E245" i="2"/>
  <c r="L244" i="2"/>
  <c r="J244" i="2"/>
  <c r="F244" i="2"/>
  <c r="E244" i="2"/>
  <c r="L243" i="2"/>
  <c r="J243" i="2"/>
  <c r="F243" i="2"/>
  <c r="E243" i="2"/>
  <c r="L242" i="2"/>
  <c r="J242" i="2"/>
  <c r="F242" i="2"/>
  <c r="E242" i="2"/>
  <c r="L241" i="2"/>
  <c r="J241" i="2"/>
  <c r="F241" i="2"/>
  <c r="E241" i="2"/>
  <c r="L240" i="2"/>
  <c r="J240" i="2"/>
  <c r="F240" i="2"/>
  <c r="E240" i="2"/>
  <c r="L239" i="2"/>
  <c r="J239" i="2"/>
  <c r="F239" i="2"/>
  <c r="E239" i="2"/>
  <c r="L238" i="2"/>
  <c r="J238" i="2"/>
  <c r="F238" i="2"/>
  <c r="E238" i="2"/>
  <c r="L237" i="2"/>
  <c r="J237" i="2"/>
  <c r="F237" i="2"/>
  <c r="E237" i="2"/>
  <c r="L236" i="2"/>
  <c r="J236" i="2"/>
  <c r="F236" i="2"/>
  <c r="E236" i="2"/>
  <c r="L235" i="2"/>
  <c r="J235" i="2"/>
  <c r="F235" i="2"/>
  <c r="E235" i="2"/>
  <c r="L234" i="2"/>
  <c r="J234" i="2"/>
  <c r="F234" i="2"/>
  <c r="E234" i="2"/>
  <c r="L233" i="2"/>
  <c r="J233" i="2"/>
  <c r="F233" i="2"/>
  <c r="E233" i="2"/>
  <c r="L232" i="2"/>
  <c r="J232" i="2"/>
  <c r="F232" i="2"/>
  <c r="E232" i="2"/>
  <c r="L231" i="2"/>
  <c r="J231" i="2"/>
  <c r="F231" i="2"/>
  <c r="E231" i="2"/>
  <c r="L230" i="2"/>
  <c r="J230" i="2"/>
  <c r="F230" i="2"/>
  <c r="E230" i="2"/>
  <c r="L229" i="2"/>
  <c r="J229" i="2"/>
  <c r="F229" i="2"/>
  <c r="E229" i="2"/>
  <c r="L228" i="2"/>
  <c r="J228" i="2"/>
  <c r="F228" i="2"/>
  <c r="E228" i="2"/>
  <c r="L227" i="2"/>
  <c r="J227" i="2"/>
  <c r="F227" i="2"/>
  <c r="E227" i="2"/>
  <c r="L226" i="2"/>
  <c r="J226" i="2"/>
  <c r="F226" i="2"/>
  <c r="E226" i="2"/>
  <c r="L225" i="2"/>
  <c r="J225" i="2"/>
  <c r="F225" i="2"/>
  <c r="E225" i="2"/>
  <c r="L224" i="2"/>
  <c r="J224" i="2"/>
  <c r="F224" i="2"/>
  <c r="E224" i="2"/>
  <c r="L223" i="2"/>
  <c r="J223" i="2"/>
  <c r="F223" i="2"/>
  <c r="E223" i="2"/>
  <c r="L222" i="2"/>
  <c r="J222" i="2"/>
  <c r="F222" i="2"/>
  <c r="E222" i="2"/>
  <c r="L221" i="2"/>
  <c r="J221" i="2"/>
  <c r="F221" i="2"/>
  <c r="E221" i="2"/>
  <c r="L220" i="2"/>
  <c r="J220" i="2"/>
  <c r="F220" i="2"/>
  <c r="E220" i="2"/>
  <c r="L219" i="2"/>
  <c r="J219" i="2"/>
  <c r="F219" i="2"/>
  <c r="E219" i="2"/>
  <c r="L218" i="2"/>
  <c r="J218" i="2"/>
  <c r="F218" i="2"/>
  <c r="E218" i="2"/>
  <c r="L217" i="2"/>
  <c r="J217" i="2"/>
  <c r="F217" i="2"/>
  <c r="E217" i="2"/>
  <c r="L216" i="2"/>
  <c r="J216" i="2"/>
  <c r="F216" i="2"/>
  <c r="E216" i="2"/>
  <c r="L215" i="2"/>
  <c r="J215" i="2"/>
  <c r="F215" i="2"/>
  <c r="E215" i="2"/>
  <c r="L214" i="2"/>
  <c r="J214" i="2"/>
  <c r="F214" i="2"/>
  <c r="E214" i="2"/>
  <c r="L213" i="2"/>
  <c r="J213" i="2"/>
  <c r="F213" i="2"/>
  <c r="E213" i="2"/>
  <c r="L212" i="2"/>
  <c r="J212" i="2"/>
  <c r="F212" i="2"/>
  <c r="E212" i="2"/>
  <c r="L211" i="2"/>
  <c r="J211" i="2"/>
  <c r="F211" i="2"/>
  <c r="E211" i="2"/>
  <c r="L210" i="2"/>
  <c r="J210" i="2"/>
  <c r="F210" i="2"/>
  <c r="E210" i="2"/>
  <c r="L209" i="2"/>
  <c r="J209" i="2"/>
  <c r="F209" i="2"/>
  <c r="E209" i="2"/>
  <c r="L208" i="2"/>
  <c r="J208" i="2"/>
  <c r="F208" i="2"/>
  <c r="E208" i="2"/>
  <c r="L207" i="2"/>
  <c r="J207" i="2"/>
  <c r="F207" i="2"/>
  <c r="E207" i="2"/>
  <c r="L206" i="2"/>
  <c r="J206" i="2"/>
  <c r="F206" i="2"/>
  <c r="E206" i="2"/>
  <c r="L205" i="2"/>
  <c r="J205" i="2"/>
  <c r="F205" i="2"/>
  <c r="E205" i="2"/>
  <c r="L204" i="2"/>
  <c r="J204" i="2"/>
  <c r="F204" i="2"/>
  <c r="E204" i="2"/>
  <c r="L203" i="2"/>
  <c r="J203" i="2"/>
  <c r="F203" i="2"/>
  <c r="E203" i="2"/>
  <c r="L202" i="2"/>
  <c r="J202" i="2"/>
  <c r="F202" i="2"/>
  <c r="E202" i="2"/>
  <c r="L201" i="2"/>
  <c r="J201" i="2"/>
  <c r="F201" i="2"/>
  <c r="E201" i="2"/>
  <c r="L200" i="2"/>
  <c r="J200" i="2"/>
  <c r="F200" i="2"/>
  <c r="E200" i="2"/>
  <c r="L199" i="2"/>
  <c r="J199" i="2"/>
  <c r="F199" i="2"/>
  <c r="E199" i="2"/>
  <c r="L198" i="2"/>
  <c r="J198" i="2"/>
  <c r="F198" i="2"/>
  <c r="E198" i="2"/>
  <c r="L197" i="2"/>
  <c r="J197" i="2"/>
  <c r="F197" i="2"/>
  <c r="E197" i="2"/>
  <c r="L196" i="2"/>
  <c r="J196" i="2"/>
  <c r="F196" i="2"/>
  <c r="E196" i="2"/>
  <c r="L195" i="2"/>
  <c r="J195" i="2"/>
  <c r="F195" i="2"/>
  <c r="E195" i="2"/>
  <c r="L194" i="2"/>
  <c r="J194" i="2"/>
  <c r="F194" i="2"/>
  <c r="E194" i="2"/>
  <c r="L193" i="2"/>
  <c r="J193" i="2"/>
  <c r="F193" i="2"/>
  <c r="E193" i="2"/>
  <c r="L192" i="2"/>
  <c r="J192" i="2"/>
  <c r="F192" i="2"/>
  <c r="E192" i="2"/>
  <c r="L191" i="2"/>
  <c r="J191" i="2"/>
  <c r="F191" i="2"/>
  <c r="E191" i="2"/>
  <c r="L190" i="2"/>
  <c r="J190" i="2"/>
  <c r="F190" i="2"/>
  <c r="E190" i="2"/>
  <c r="L189" i="2"/>
  <c r="J189" i="2"/>
  <c r="F189" i="2"/>
  <c r="E189" i="2"/>
  <c r="L188" i="2"/>
  <c r="J188" i="2"/>
  <c r="F188" i="2"/>
  <c r="E188" i="2"/>
  <c r="L187" i="2"/>
  <c r="J187" i="2"/>
  <c r="F187" i="2"/>
  <c r="E187" i="2"/>
  <c r="L186" i="2"/>
  <c r="J186" i="2"/>
  <c r="F186" i="2"/>
  <c r="E186" i="2"/>
  <c r="L185" i="2"/>
  <c r="J185" i="2"/>
  <c r="F185" i="2"/>
  <c r="E185" i="2"/>
  <c r="L184" i="2"/>
  <c r="J184" i="2"/>
  <c r="F184" i="2"/>
  <c r="E184" i="2"/>
  <c r="L183" i="2"/>
  <c r="J183" i="2"/>
  <c r="F183" i="2"/>
  <c r="E183" i="2"/>
  <c r="L182" i="2"/>
  <c r="J182" i="2"/>
  <c r="F182" i="2"/>
  <c r="E182" i="2"/>
  <c r="L181" i="2"/>
  <c r="J181" i="2"/>
  <c r="F181" i="2"/>
  <c r="E181" i="2"/>
  <c r="L180" i="2"/>
  <c r="J180" i="2"/>
  <c r="F180" i="2"/>
  <c r="E180" i="2"/>
  <c r="L179" i="2"/>
  <c r="J179" i="2"/>
  <c r="F179" i="2"/>
  <c r="E179" i="2"/>
  <c r="L178" i="2"/>
  <c r="J178" i="2"/>
  <c r="F178" i="2"/>
  <c r="E178" i="2"/>
  <c r="L177" i="2"/>
  <c r="J177" i="2"/>
  <c r="F177" i="2"/>
  <c r="E177" i="2"/>
  <c r="L176" i="2"/>
  <c r="J176" i="2"/>
  <c r="F176" i="2"/>
  <c r="E176" i="2"/>
  <c r="L175" i="2"/>
  <c r="J175" i="2"/>
  <c r="F175" i="2"/>
  <c r="E175" i="2"/>
  <c r="L174" i="2"/>
  <c r="J174" i="2"/>
  <c r="F174" i="2"/>
  <c r="E174" i="2"/>
  <c r="L173" i="2"/>
  <c r="J173" i="2"/>
  <c r="F173" i="2"/>
  <c r="E173" i="2"/>
  <c r="L172" i="2"/>
  <c r="J172" i="2"/>
  <c r="F172" i="2"/>
  <c r="E172" i="2"/>
  <c r="L171" i="2"/>
  <c r="J171" i="2"/>
  <c r="F171" i="2"/>
  <c r="E171" i="2"/>
  <c r="L170" i="2"/>
  <c r="J170" i="2"/>
  <c r="F170" i="2"/>
  <c r="E170" i="2"/>
  <c r="L169" i="2"/>
  <c r="J169" i="2"/>
  <c r="F169" i="2"/>
  <c r="E169" i="2"/>
  <c r="L168" i="2"/>
  <c r="J168" i="2"/>
  <c r="F168" i="2"/>
  <c r="E168" i="2"/>
  <c r="L167" i="2"/>
  <c r="J167" i="2"/>
  <c r="F167" i="2"/>
  <c r="E167" i="2"/>
  <c r="L166" i="2"/>
  <c r="J166" i="2"/>
  <c r="F166" i="2"/>
  <c r="E166" i="2"/>
  <c r="L165" i="2"/>
  <c r="J165" i="2"/>
  <c r="F165" i="2"/>
  <c r="E165" i="2"/>
  <c r="L164" i="2"/>
  <c r="J164" i="2"/>
  <c r="F164" i="2"/>
  <c r="E164" i="2"/>
  <c r="L163" i="2"/>
  <c r="J163" i="2"/>
  <c r="F163" i="2"/>
  <c r="E163" i="2"/>
  <c r="L162" i="2"/>
  <c r="J162" i="2"/>
  <c r="F162" i="2"/>
  <c r="E162" i="2"/>
  <c r="L161" i="2"/>
  <c r="J161" i="2"/>
  <c r="F161" i="2"/>
  <c r="E161" i="2"/>
  <c r="L160" i="2"/>
  <c r="J160" i="2"/>
  <c r="F160" i="2"/>
  <c r="E160" i="2"/>
  <c r="L159" i="2"/>
  <c r="J159" i="2"/>
  <c r="F159" i="2"/>
  <c r="E159" i="2"/>
  <c r="L158" i="2"/>
  <c r="J158" i="2"/>
  <c r="F158" i="2"/>
  <c r="E158" i="2"/>
  <c r="L157" i="2"/>
  <c r="J157" i="2"/>
  <c r="F157" i="2"/>
  <c r="E157" i="2"/>
  <c r="L156" i="2"/>
  <c r="J156" i="2"/>
  <c r="F156" i="2"/>
  <c r="E156" i="2"/>
  <c r="L155" i="2"/>
  <c r="J155" i="2"/>
  <c r="F155" i="2"/>
  <c r="E155" i="2"/>
  <c r="L154" i="2"/>
  <c r="J154" i="2"/>
  <c r="F154" i="2"/>
  <c r="E154" i="2"/>
  <c r="L153" i="2"/>
  <c r="J153" i="2"/>
  <c r="F153" i="2"/>
  <c r="E153" i="2"/>
  <c r="L152" i="2"/>
  <c r="J152" i="2"/>
  <c r="F152" i="2"/>
  <c r="E152" i="2"/>
  <c r="L151" i="2"/>
  <c r="J151" i="2"/>
  <c r="F151" i="2"/>
  <c r="E151" i="2"/>
  <c r="L150" i="2"/>
  <c r="J150" i="2"/>
  <c r="F150" i="2"/>
  <c r="E150" i="2"/>
  <c r="L149" i="2"/>
  <c r="J149" i="2"/>
  <c r="F149" i="2"/>
  <c r="E149" i="2"/>
  <c r="L148" i="2"/>
  <c r="J148" i="2"/>
  <c r="F148" i="2"/>
  <c r="E148" i="2"/>
  <c r="L147" i="2"/>
  <c r="J147" i="2"/>
  <c r="F147" i="2"/>
  <c r="E147" i="2"/>
  <c r="L146" i="2"/>
  <c r="J146" i="2"/>
  <c r="F146" i="2"/>
  <c r="E146" i="2"/>
  <c r="L145" i="2"/>
  <c r="J145" i="2"/>
  <c r="F145" i="2"/>
  <c r="E145" i="2"/>
  <c r="L144" i="2"/>
  <c r="J144" i="2"/>
  <c r="F144" i="2"/>
  <c r="E144" i="2"/>
  <c r="L143" i="2"/>
  <c r="J143" i="2"/>
  <c r="F143" i="2"/>
  <c r="E143" i="2"/>
  <c r="L142" i="2"/>
  <c r="J142" i="2"/>
  <c r="F142" i="2"/>
  <c r="E142" i="2"/>
  <c r="L141" i="2"/>
  <c r="J141" i="2"/>
  <c r="F141" i="2"/>
  <c r="E141" i="2"/>
  <c r="L140" i="2"/>
  <c r="J140" i="2"/>
  <c r="F140" i="2"/>
  <c r="E140" i="2"/>
  <c r="L139" i="2"/>
  <c r="J139" i="2"/>
  <c r="F139" i="2"/>
  <c r="E139" i="2"/>
  <c r="L138" i="2"/>
  <c r="J138" i="2"/>
  <c r="F138" i="2"/>
  <c r="E138" i="2"/>
  <c r="L137" i="2"/>
  <c r="J137" i="2"/>
  <c r="F137" i="2"/>
  <c r="E137" i="2"/>
  <c r="L136" i="2"/>
  <c r="J136" i="2"/>
  <c r="F136" i="2"/>
  <c r="E136" i="2"/>
  <c r="L135" i="2"/>
  <c r="J135" i="2"/>
  <c r="F135" i="2"/>
  <c r="E135" i="2"/>
  <c r="L134" i="2"/>
  <c r="J134" i="2"/>
  <c r="F134" i="2"/>
  <c r="E134" i="2"/>
  <c r="L133" i="2"/>
  <c r="J133" i="2"/>
  <c r="F133" i="2"/>
  <c r="E133" i="2"/>
  <c r="L132" i="2"/>
  <c r="J132" i="2"/>
  <c r="F132" i="2"/>
  <c r="E132" i="2"/>
  <c r="L131" i="2"/>
  <c r="J131" i="2"/>
  <c r="F131" i="2"/>
  <c r="E131" i="2"/>
  <c r="L130" i="2"/>
  <c r="J130" i="2"/>
  <c r="F130" i="2"/>
  <c r="E130" i="2"/>
  <c r="L129" i="2"/>
  <c r="J129" i="2"/>
  <c r="F129" i="2"/>
  <c r="E129" i="2"/>
  <c r="L128" i="2"/>
  <c r="J128" i="2"/>
  <c r="F128" i="2"/>
  <c r="E128" i="2"/>
  <c r="L127" i="2"/>
  <c r="J127" i="2"/>
  <c r="F127" i="2"/>
  <c r="E127" i="2"/>
  <c r="L126" i="2"/>
  <c r="J126" i="2"/>
  <c r="F126" i="2"/>
  <c r="E126" i="2"/>
  <c r="L125" i="2"/>
  <c r="J125" i="2"/>
  <c r="F125" i="2"/>
  <c r="E125" i="2"/>
  <c r="L124" i="2"/>
  <c r="J124" i="2"/>
  <c r="F124" i="2"/>
  <c r="E124" i="2"/>
  <c r="L123" i="2"/>
  <c r="J123" i="2"/>
  <c r="F123" i="2"/>
  <c r="E123" i="2"/>
  <c r="L122" i="2"/>
  <c r="J122" i="2"/>
  <c r="F122" i="2"/>
  <c r="E122" i="2"/>
  <c r="L121" i="2"/>
  <c r="J121" i="2"/>
  <c r="F121" i="2"/>
  <c r="E121" i="2"/>
  <c r="L120" i="2"/>
  <c r="J120" i="2"/>
  <c r="F120" i="2"/>
  <c r="E120" i="2"/>
  <c r="L119" i="2"/>
  <c r="J119" i="2"/>
  <c r="F119" i="2"/>
  <c r="E119" i="2"/>
  <c r="L118" i="2"/>
  <c r="J118" i="2"/>
  <c r="F118" i="2"/>
  <c r="E118" i="2"/>
  <c r="L117" i="2"/>
  <c r="J117" i="2"/>
  <c r="F117" i="2"/>
  <c r="E117" i="2"/>
  <c r="L116" i="2"/>
  <c r="J116" i="2"/>
  <c r="F116" i="2"/>
  <c r="E116" i="2"/>
  <c r="L115" i="2"/>
  <c r="J115" i="2"/>
  <c r="F115" i="2"/>
  <c r="E115" i="2"/>
  <c r="L114" i="2"/>
  <c r="J114" i="2"/>
  <c r="F114" i="2"/>
  <c r="E114" i="2"/>
  <c r="L113" i="2"/>
  <c r="J113" i="2"/>
  <c r="F113" i="2"/>
  <c r="E113" i="2"/>
  <c r="L112" i="2"/>
  <c r="J112" i="2"/>
  <c r="F112" i="2"/>
  <c r="E112" i="2"/>
  <c r="L111" i="2"/>
  <c r="J111" i="2"/>
  <c r="F111" i="2"/>
  <c r="E111" i="2"/>
  <c r="L110" i="2"/>
  <c r="J110" i="2"/>
  <c r="F110" i="2"/>
  <c r="E110" i="2"/>
  <c r="L109" i="2"/>
  <c r="J109" i="2"/>
  <c r="F109" i="2"/>
  <c r="E109" i="2"/>
  <c r="L108" i="2"/>
  <c r="J108" i="2"/>
  <c r="F108" i="2"/>
  <c r="E108" i="2"/>
  <c r="L107" i="2"/>
  <c r="J107" i="2"/>
  <c r="F107" i="2"/>
  <c r="E107" i="2"/>
  <c r="L106" i="2"/>
  <c r="J106" i="2"/>
  <c r="F106" i="2"/>
  <c r="E106" i="2"/>
  <c r="L105" i="2"/>
  <c r="J105" i="2"/>
  <c r="F105" i="2"/>
  <c r="E105" i="2"/>
  <c r="L104" i="2"/>
  <c r="J104" i="2"/>
  <c r="F104" i="2"/>
  <c r="E104" i="2"/>
  <c r="L103" i="2"/>
  <c r="J103" i="2"/>
  <c r="F103" i="2"/>
  <c r="E103" i="2"/>
  <c r="L102" i="2"/>
  <c r="J102" i="2"/>
  <c r="F102" i="2"/>
  <c r="E102" i="2"/>
  <c r="L101" i="2"/>
  <c r="J101" i="2"/>
  <c r="F101" i="2"/>
  <c r="E101" i="2"/>
  <c r="L100" i="2"/>
  <c r="J100" i="2"/>
  <c r="F100" i="2"/>
  <c r="E100" i="2"/>
  <c r="L99" i="2"/>
  <c r="J99" i="2"/>
  <c r="F99" i="2"/>
  <c r="E99" i="2"/>
  <c r="L98" i="2"/>
  <c r="J98" i="2"/>
  <c r="F98" i="2"/>
  <c r="E98" i="2"/>
  <c r="L97" i="2"/>
  <c r="J97" i="2"/>
  <c r="F97" i="2"/>
  <c r="E97" i="2"/>
  <c r="L96" i="2"/>
  <c r="J96" i="2"/>
  <c r="F96" i="2"/>
  <c r="E96" i="2"/>
  <c r="L95" i="2"/>
  <c r="J95" i="2"/>
  <c r="F95" i="2"/>
  <c r="E95" i="2"/>
  <c r="L94" i="2"/>
  <c r="J94" i="2"/>
  <c r="F94" i="2"/>
  <c r="E94" i="2"/>
  <c r="L93" i="2"/>
  <c r="J93" i="2"/>
  <c r="F93" i="2"/>
  <c r="E93" i="2"/>
  <c r="L92" i="2"/>
  <c r="J92" i="2"/>
  <c r="F92" i="2"/>
  <c r="E92" i="2"/>
  <c r="L91" i="2"/>
  <c r="J91" i="2"/>
  <c r="F91" i="2"/>
  <c r="E91" i="2"/>
  <c r="L90" i="2"/>
  <c r="J90" i="2"/>
  <c r="F90" i="2"/>
  <c r="E90" i="2"/>
  <c r="L89" i="2"/>
  <c r="J89" i="2"/>
  <c r="F89" i="2"/>
  <c r="E89" i="2"/>
  <c r="L88" i="2"/>
  <c r="J88" i="2"/>
  <c r="F88" i="2"/>
  <c r="E88" i="2"/>
  <c r="L87" i="2"/>
  <c r="J87" i="2"/>
  <c r="F87" i="2"/>
  <c r="E87" i="2"/>
  <c r="L86" i="2"/>
  <c r="J86" i="2"/>
  <c r="F86" i="2"/>
  <c r="E86" i="2"/>
  <c r="L85" i="2"/>
  <c r="J85" i="2"/>
  <c r="F85" i="2"/>
  <c r="E85" i="2"/>
  <c r="L84" i="2"/>
  <c r="J84" i="2"/>
  <c r="F84" i="2"/>
  <c r="E84" i="2"/>
  <c r="L83" i="2"/>
  <c r="J83" i="2"/>
  <c r="F83" i="2"/>
  <c r="E83" i="2"/>
  <c r="L82" i="2"/>
  <c r="J82" i="2"/>
  <c r="F82" i="2"/>
  <c r="E82" i="2"/>
  <c r="L81" i="2"/>
  <c r="J81" i="2"/>
  <c r="F81" i="2"/>
  <c r="E81" i="2"/>
  <c r="L80" i="2"/>
  <c r="J80" i="2"/>
  <c r="F80" i="2"/>
  <c r="E80" i="2"/>
  <c r="L79" i="2"/>
  <c r="J79" i="2"/>
  <c r="F79" i="2"/>
  <c r="E79" i="2"/>
  <c r="L78" i="2"/>
  <c r="J78" i="2"/>
  <c r="F78" i="2"/>
  <c r="E78" i="2"/>
  <c r="L77" i="2"/>
  <c r="J77" i="2"/>
  <c r="F77" i="2"/>
  <c r="E77" i="2"/>
  <c r="L76" i="2"/>
  <c r="J76" i="2"/>
  <c r="F76" i="2"/>
  <c r="E76" i="2"/>
  <c r="L75" i="2"/>
  <c r="J75" i="2"/>
  <c r="F75" i="2"/>
  <c r="E75" i="2"/>
  <c r="L74" i="2"/>
  <c r="J74" i="2"/>
  <c r="F74" i="2"/>
  <c r="E74" i="2"/>
  <c r="L73" i="2"/>
  <c r="J73" i="2"/>
  <c r="F73" i="2"/>
  <c r="E73" i="2"/>
  <c r="L72" i="2"/>
  <c r="J72" i="2"/>
  <c r="F72" i="2"/>
  <c r="E72" i="2"/>
  <c r="L71" i="2"/>
  <c r="J71" i="2"/>
  <c r="F71" i="2"/>
  <c r="E71" i="2"/>
  <c r="L70" i="2"/>
  <c r="J70" i="2"/>
  <c r="F70" i="2"/>
  <c r="E70" i="2"/>
  <c r="L69" i="2"/>
  <c r="J69" i="2"/>
  <c r="F69" i="2"/>
  <c r="E69" i="2"/>
  <c r="L68" i="2"/>
  <c r="J68" i="2"/>
  <c r="F68" i="2"/>
  <c r="E68" i="2"/>
  <c r="L67" i="2"/>
  <c r="J67" i="2"/>
  <c r="F67" i="2"/>
  <c r="E67" i="2"/>
  <c r="L66" i="2"/>
  <c r="J66" i="2"/>
  <c r="F66" i="2"/>
  <c r="E66" i="2"/>
  <c r="L65" i="2"/>
  <c r="J65" i="2"/>
  <c r="F65" i="2"/>
  <c r="E65" i="2"/>
  <c r="L64" i="2"/>
  <c r="J64" i="2"/>
  <c r="F64" i="2"/>
  <c r="E64" i="2"/>
  <c r="L63" i="2"/>
  <c r="J63" i="2"/>
  <c r="F63" i="2"/>
  <c r="E63" i="2"/>
  <c r="L62" i="2"/>
  <c r="J62" i="2"/>
  <c r="F62" i="2"/>
  <c r="E62" i="2"/>
  <c r="L61" i="2"/>
  <c r="J61" i="2"/>
  <c r="F61" i="2"/>
  <c r="E61" i="2"/>
  <c r="L60" i="2"/>
  <c r="J60" i="2"/>
  <c r="F60" i="2"/>
  <c r="E60" i="2"/>
  <c r="L59" i="2"/>
  <c r="J59" i="2"/>
  <c r="F59" i="2"/>
  <c r="E59" i="2"/>
  <c r="L58" i="2"/>
  <c r="J58" i="2"/>
  <c r="F58" i="2"/>
  <c r="E58" i="2"/>
  <c r="L57" i="2"/>
  <c r="J57" i="2"/>
  <c r="F57" i="2"/>
  <c r="E57" i="2"/>
  <c r="L56" i="2"/>
  <c r="J56" i="2"/>
  <c r="F56" i="2"/>
  <c r="E56" i="2"/>
  <c r="L55" i="2"/>
  <c r="J55" i="2"/>
  <c r="F55" i="2"/>
  <c r="E55" i="2"/>
  <c r="L54" i="2"/>
  <c r="J54" i="2"/>
  <c r="F54" i="2"/>
  <c r="E54" i="2"/>
  <c r="Q53" i="2"/>
  <c r="P53" i="2"/>
  <c r="O53" i="2"/>
  <c r="L53" i="2"/>
  <c r="J53" i="2"/>
  <c r="F53" i="2"/>
  <c r="E53" i="2"/>
  <c r="P52" i="2"/>
  <c r="Q52" i="2" s="1"/>
  <c r="O52" i="2"/>
  <c r="L52" i="2"/>
  <c r="J52" i="2"/>
  <c r="F52" i="2"/>
  <c r="E52" i="2"/>
  <c r="P51" i="2"/>
  <c r="Q51" i="2" s="1"/>
  <c r="O51" i="2"/>
  <c r="L51" i="2"/>
  <c r="J51" i="2"/>
  <c r="F51" i="2"/>
  <c r="E51" i="2"/>
  <c r="P50" i="2"/>
  <c r="Q50" i="2" s="1"/>
  <c r="O50" i="2"/>
  <c r="L50" i="2"/>
  <c r="J50" i="2"/>
  <c r="F50" i="2"/>
  <c r="E50" i="2"/>
  <c r="Q49" i="2"/>
  <c r="P49" i="2"/>
  <c r="O49" i="2"/>
  <c r="L49" i="2"/>
  <c r="J49" i="2"/>
  <c r="F49" i="2"/>
  <c r="E49" i="2"/>
  <c r="P48" i="2"/>
  <c r="Q48" i="2" s="1"/>
  <c r="O48" i="2"/>
  <c r="L48" i="2"/>
  <c r="J48" i="2"/>
  <c r="F48" i="2"/>
  <c r="E48" i="2"/>
  <c r="Q47" i="2"/>
  <c r="P47" i="2"/>
  <c r="O47" i="2"/>
  <c r="L47" i="2"/>
  <c r="J47" i="2"/>
  <c r="F47" i="2"/>
  <c r="E47" i="2"/>
  <c r="P46" i="2"/>
  <c r="Q46" i="2" s="1"/>
  <c r="O46" i="2"/>
  <c r="L46" i="2"/>
  <c r="J46" i="2"/>
  <c r="F46" i="2"/>
  <c r="E46" i="2"/>
  <c r="Q45" i="2"/>
  <c r="P45" i="2"/>
  <c r="O45" i="2"/>
  <c r="L45" i="2"/>
  <c r="J45" i="2"/>
  <c r="F45" i="2"/>
  <c r="E45" i="2"/>
  <c r="P44" i="2"/>
  <c r="Q44" i="2" s="1"/>
  <c r="O44" i="2"/>
  <c r="L44" i="2"/>
  <c r="J44" i="2"/>
  <c r="F44" i="2"/>
  <c r="E44" i="2"/>
  <c r="P43" i="2"/>
  <c r="Q43" i="2" s="1"/>
  <c r="O43" i="2"/>
  <c r="L43" i="2"/>
  <c r="J43" i="2"/>
  <c r="F43" i="2"/>
  <c r="E43" i="2"/>
  <c r="P42" i="2"/>
  <c r="Q42" i="2" s="1"/>
  <c r="O42" i="2"/>
  <c r="L42" i="2"/>
  <c r="J42" i="2"/>
  <c r="F42" i="2"/>
  <c r="E42" i="2"/>
  <c r="Q41" i="2"/>
  <c r="P41" i="2"/>
  <c r="O41" i="2"/>
  <c r="L41" i="2"/>
  <c r="J41" i="2"/>
  <c r="F41" i="2"/>
  <c r="E41" i="2"/>
  <c r="P40" i="2"/>
  <c r="Q40" i="2" s="1"/>
  <c r="O40" i="2"/>
  <c r="L40" i="2"/>
  <c r="J40" i="2"/>
  <c r="F40" i="2"/>
  <c r="E40" i="2"/>
  <c r="Q39" i="2"/>
  <c r="P39" i="2"/>
  <c r="O39" i="2"/>
  <c r="L39" i="2"/>
  <c r="J39" i="2"/>
  <c r="F39" i="2"/>
  <c r="E39" i="2"/>
  <c r="P38" i="2"/>
  <c r="Q38" i="2" s="1"/>
  <c r="O38" i="2"/>
  <c r="L38" i="2"/>
  <c r="J38" i="2"/>
  <c r="F38" i="2"/>
  <c r="E38" i="2"/>
  <c r="Q37" i="2"/>
  <c r="P37" i="2"/>
  <c r="O37" i="2"/>
  <c r="L37" i="2"/>
  <c r="J37" i="2"/>
  <c r="F37" i="2"/>
  <c r="E37" i="2"/>
  <c r="P36" i="2"/>
  <c r="Q36" i="2" s="1"/>
  <c r="O36" i="2"/>
  <c r="L36" i="2"/>
  <c r="J36" i="2"/>
  <c r="F36" i="2"/>
  <c r="E36" i="2"/>
  <c r="P35" i="2"/>
  <c r="Q35" i="2" s="1"/>
  <c r="O35" i="2"/>
  <c r="L35" i="2"/>
  <c r="J35" i="2"/>
  <c r="F35" i="2"/>
  <c r="E35" i="2"/>
  <c r="P34" i="2"/>
  <c r="Q34" i="2" s="1"/>
  <c r="O34" i="2"/>
  <c r="L34" i="2"/>
  <c r="J34" i="2"/>
  <c r="F34" i="2"/>
  <c r="E34" i="2"/>
  <c r="Q33" i="2"/>
  <c r="P33" i="2"/>
  <c r="O33" i="2"/>
  <c r="L33" i="2"/>
  <c r="J33" i="2"/>
  <c r="F33" i="2"/>
  <c r="E33" i="2"/>
  <c r="P32" i="2"/>
  <c r="Q32" i="2" s="1"/>
  <c r="O32" i="2"/>
  <c r="L32" i="2"/>
  <c r="J32" i="2"/>
  <c r="F32" i="2"/>
  <c r="E32" i="2"/>
  <c r="Q31" i="2"/>
  <c r="P31" i="2"/>
  <c r="O31" i="2"/>
  <c r="L31" i="2"/>
  <c r="J31" i="2"/>
  <c r="F31" i="2"/>
  <c r="E31" i="2"/>
  <c r="P30" i="2"/>
  <c r="Q30" i="2" s="1"/>
  <c r="O30" i="2"/>
  <c r="L30" i="2"/>
  <c r="J30" i="2"/>
  <c r="F30" i="2"/>
  <c r="E30" i="2"/>
  <c r="Q29" i="2"/>
  <c r="P29" i="2"/>
  <c r="O29" i="2"/>
  <c r="L29" i="2"/>
  <c r="J29" i="2"/>
  <c r="F29" i="2"/>
  <c r="E29" i="2"/>
  <c r="P28" i="2"/>
  <c r="B10" i="2" s="1"/>
  <c r="O28" i="2"/>
  <c r="L28" i="2"/>
  <c r="J28" i="2"/>
  <c r="F28" i="2"/>
  <c r="E28" i="2"/>
  <c r="P27" i="2"/>
  <c r="Q27" i="2" s="1"/>
  <c r="O27" i="2"/>
  <c r="L27" i="2"/>
  <c r="J27" i="2"/>
  <c r="F27" i="2"/>
  <c r="E27" i="2"/>
  <c r="P26" i="2"/>
  <c r="Q26" i="2" s="1"/>
  <c r="O26" i="2"/>
  <c r="L26" i="2"/>
  <c r="F9" i="2" s="1"/>
  <c r="J26" i="2"/>
  <c r="F26" i="2"/>
  <c r="E26" i="2"/>
  <c r="Q25" i="2"/>
  <c r="P25" i="2"/>
  <c r="O25" i="2"/>
  <c r="L25" i="2"/>
  <c r="J25" i="2"/>
  <c r="F25" i="2"/>
  <c r="E25" i="2"/>
  <c r="P24" i="2"/>
  <c r="Q24" i="2" s="1"/>
  <c r="O24" i="2"/>
  <c r="L24" i="2"/>
  <c r="J24" i="2"/>
  <c r="F24" i="2"/>
  <c r="E24" i="2"/>
  <c r="L23" i="2"/>
  <c r="J23" i="2"/>
  <c r="F23" i="2"/>
  <c r="E23" i="2"/>
  <c r="L22" i="2"/>
  <c r="J22" i="2"/>
  <c r="F22" i="2"/>
  <c r="E22" i="2"/>
  <c r="L21" i="2"/>
  <c r="J21" i="2"/>
  <c r="F21" i="2"/>
  <c r="E21" i="2"/>
  <c r="L20" i="2"/>
  <c r="J20" i="2"/>
  <c r="F20" i="2"/>
  <c r="E20" i="2"/>
  <c r="Q19" i="2"/>
  <c r="P19" i="2"/>
  <c r="F211" i="3" s="1"/>
  <c r="Q18" i="2"/>
  <c r="P18" i="2"/>
  <c r="F210" i="3" s="1"/>
  <c r="Q17" i="2"/>
  <c r="P17" i="2"/>
  <c r="F209" i="3" s="1"/>
  <c r="I209" i="3" s="1"/>
  <c r="Q16" i="2"/>
  <c r="P16" i="2"/>
  <c r="F184" i="3" s="1"/>
  <c r="Q15" i="2"/>
  <c r="P15" i="2"/>
  <c r="F207" i="3" s="1"/>
  <c r="I207" i="3" s="1"/>
  <c r="Q14" i="2"/>
  <c r="P14" i="2"/>
  <c r="F182" i="3" s="1"/>
  <c r="Q13" i="2"/>
  <c r="P13" i="2"/>
  <c r="F205" i="3" s="1"/>
  <c r="I205" i="3" s="1"/>
  <c r="Q12" i="2"/>
  <c r="P12" i="2"/>
  <c r="F204" i="3" s="1"/>
  <c r="Q11" i="2"/>
  <c r="P11" i="2"/>
  <c r="F203" i="3" s="1"/>
  <c r="I203" i="3" s="1"/>
  <c r="Q10" i="2"/>
  <c r="P10" i="2"/>
  <c r="F190" i="3" s="1"/>
  <c r="H10" i="2"/>
  <c r="F10" i="2"/>
  <c r="Q9" i="2"/>
  <c r="P9" i="2"/>
  <c r="F201" i="3" s="1"/>
  <c r="L9" i="2"/>
  <c r="J9" i="2"/>
  <c r="H9" i="2"/>
  <c r="D9" i="2"/>
  <c r="B9" i="2"/>
  <c r="Q8" i="2"/>
  <c r="P8" i="2"/>
  <c r="F44" i="3" s="1"/>
  <c r="J8" i="2"/>
  <c r="H8" i="2"/>
  <c r="D8" i="2"/>
  <c r="B8" i="2"/>
  <c r="I201" i="3" l="1"/>
  <c r="H201" i="3"/>
  <c r="I184" i="3"/>
  <c r="H184" i="3"/>
  <c r="I44" i="3"/>
  <c r="H44" i="3"/>
  <c r="L8" i="2"/>
  <c r="I190" i="3"/>
  <c r="H190" i="3"/>
  <c r="I204" i="3"/>
  <c r="H204" i="3"/>
  <c r="I182" i="3"/>
  <c r="H182" i="3"/>
  <c r="I211" i="3"/>
  <c r="H211" i="3"/>
  <c r="L8" i="3"/>
  <c r="R9" i="3"/>
  <c r="T9" i="3" s="1"/>
  <c r="R10" i="3"/>
  <c r="T10" i="3" s="1"/>
  <c r="R18" i="3"/>
  <c r="T18" i="3" s="1"/>
  <c r="R22" i="3"/>
  <c r="T22" i="3" s="1"/>
  <c r="F24" i="3"/>
  <c r="F26" i="3"/>
  <c r="F28" i="3"/>
  <c r="F30" i="3"/>
  <c r="F32" i="3"/>
  <c r="F34" i="3"/>
  <c r="F36" i="3"/>
  <c r="F38" i="3"/>
  <c r="F40" i="3"/>
  <c r="F42" i="3"/>
  <c r="F52" i="3"/>
  <c r="F60" i="3"/>
  <c r="F68" i="3"/>
  <c r="F76" i="3"/>
  <c r="F84" i="3"/>
  <c r="F92" i="3"/>
  <c r="F100" i="3"/>
  <c r="F108" i="3"/>
  <c r="F116" i="3"/>
  <c r="F124" i="3"/>
  <c r="F132" i="3"/>
  <c r="F140" i="3"/>
  <c r="F148" i="3"/>
  <c r="F156" i="3"/>
  <c r="F164" i="3"/>
  <c r="F172" i="3"/>
  <c r="F180" i="3"/>
  <c r="F188" i="3"/>
  <c r="F196" i="3"/>
  <c r="R8" i="3"/>
  <c r="T8" i="3" s="1"/>
  <c r="R13" i="3"/>
  <c r="T13" i="3" s="1"/>
  <c r="R21" i="3"/>
  <c r="T21" i="3" s="1"/>
  <c r="F47" i="3"/>
  <c r="F55" i="3"/>
  <c r="F63" i="3"/>
  <c r="F71" i="3"/>
  <c r="F79" i="3"/>
  <c r="F87" i="3"/>
  <c r="F95" i="3"/>
  <c r="F103" i="3"/>
  <c r="F111" i="3"/>
  <c r="F119" i="3"/>
  <c r="F127" i="3"/>
  <c r="F135" i="3"/>
  <c r="F143" i="3"/>
  <c r="F151" i="3"/>
  <c r="F159" i="3"/>
  <c r="F167" i="3"/>
  <c r="F175" i="3"/>
  <c r="F183" i="3"/>
  <c r="F191" i="3"/>
  <c r="F199" i="3"/>
  <c r="F208" i="3"/>
  <c r="R16" i="3"/>
  <c r="T16" i="3" s="1"/>
  <c r="R20" i="3"/>
  <c r="T20" i="3" s="1"/>
  <c r="F45" i="3"/>
  <c r="F50" i="3"/>
  <c r="F58" i="3"/>
  <c r="F66" i="3"/>
  <c r="F74" i="3"/>
  <c r="F82" i="3"/>
  <c r="F90" i="3"/>
  <c r="F98" i="3"/>
  <c r="F106" i="3"/>
  <c r="F114" i="3"/>
  <c r="F122" i="3"/>
  <c r="F130" i="3"/>
  <c r="F138" i="3"/>
  <c r="F146" i="3"/>
  <c r="F154" i="3"/>
  <c r="F162" i="3"/>
  <c r="F170" i="3"/>
  <c r="F178" i="3"/>
  <c r="F186" i="3"/>
  <c r="F194" i="3"/>
  <c r="F202" i="3"/>
  <c r="H205" i="3"/>
  <c r="R19" i="3"/>
  <c r="T19" i="3" s="1"/>
  <c r="F23" i="3"/>
  <c r="F43" i="3"/>
  <c r="F53" i="3"/>
  <c r="F61" i="3"/>
  <c r="F69" i="3"/>
  <c r="F77" i="3"/>
  <c r="F85" i="3"/>
  <c r="F93" i="3"/>
  <c r="F101" i="3"/>
  <c r="F109" i="3"/>
  <c r="F117" i="3"/>
  <c r="F125" i="3"/>
  <c r="F133" i="3"/>
  <c r="F141" i="3"/>
  <c r="F149" i="3"/>
  <c r="F157" i="3"/>
  <c r="F165" i="3"/>
  <c r="F173" i="3"/>
  <c r="F181" i="3"/>
  <c r="F189" i="3"/>
  <c r="F197" i="3"/>
  <c r="Q28" i="2"/>
  <c r="R14" i="3"/>
  <c r="T14" i="3" s="1"/>
  <c r="F22" i="3"/>
  <c r="F25" i="3"/>
  <c r="F27" i="3"/>
  <c r="F29" i="3"/>
  <c r="F31" i="3"/>
  <c r="F33" i="3"/>
  <c r="F35" i="3"/>
  <c r="F37" i="3"/>
  <c r="F39" i="3"/>
  <c r="F41" i="3"/>
  <c r="F48" i="3"/>
  <c r="F56" i="3"/>
  <c r="F64" i="3"/>
  <c r="F72" i="3"/>
  <c r="F80" i="3"/>
  <c r="F88" i="3"/>
  <c r="F96" i="3"/>
  <c r="F104" i="3"/>
  <c r="F112" i="3"/>
  <c r="F120" i="3"/>
  <c r="F128" i="3"/>
  <c r="F136" i="3"/>
  <c r="F144" i="3"/>
  <c r="F152" i="3"/>
  <c r="F160" i="3"/>
  <c r="F168" i="3"/>
  <c r="F176" i="3"/>
  <c r="F192" i="3"/>
  <c r="F200" i="3"/>
  <c r="F206" i="3"/>
  <c r="H209" i="3"/>
  <c r="R17" i="3"/>
  <c r="T17" i="3" s="1"/>
  <c r="F21" i="3"/>
  <c r="F51" i="3"/>
  <c r="F59" i="3"/>
  <c r="F67" i="3"/>
  <c r="F75" i="3"/>
  <c r="F83" i="3"/>
  <c r="F91" i="3"/>
  <c r="F99" i="3"/>
  <c r="F107" i="3"/>
  <c r="F115" i="3"/>
  <c r="F123" i="3"/>
  <c r="F131" i="3"/>
  <c r="F139" i="3"/>
  <c r="F147" i="3"/>
  <c r="F155" i="3"/>
  <c r="F163" i="3"/>
  <c r="F171" i="3"/>
  <c r="F179" i="3"/>
  <c r="F187" i="3"/>
  <c r="F195" i="3"/>
  <c r="H203" i="3"/>
  <c r="I210" i="3"/>
  <c r="H210" i="3"/>
  <c r="R12" i="3"/>
  <c r="T12" i="3" s="1"/>
  <c r="F20" i="3"/>
  <c r="R23" i="3"/>
  <c r="T23" i="3" s="1"/>
  <c r="F46" i="3"/>
  <c r="F54" i="3"/>
  <c r="F62" i="3"/>
  <c r="F70" i="3"/>
  <c r="F78" i="3"/>
  <c r="F86" i="3"/>
  <c r="F94" i="3"/>
  <c r="F102" i="3"/>
  <c r="F110" i="3"/>
  <c r="F118" i="3"/>
  <c r="F126" i="3"/>
  <c r="F134" i="3"/>
  <c r="F142" i="3"/>
  <c r="F150" i="3"/>
  <c r="F158" i="3"/>
  <c r="F166" i="3"/>
  <c r="F174" i="3"/>
  <c r="F198" i="3"/>
  <c r="R11" i="3"/>
  <c r="T11" i="3" s="1"/>
  <c r="R15" i="3"/>
  <c r="T15" i="3" s="1"/>
  <c r="F49" i="3"/>
  <c r="F57" i="3"/>
  <c r="F65" i="3"/>
  <c r="F73" i="3"/>
  <c r="F81" i="3"/>
  <c r="F89" i="3"/>
  <c r="F97" i="3"/>
  <c r="F105" i="3"/>
  <c r="F113" i="3"/>
  <c r="F121" i="3"/>
  <c r="F129" i="3"/>
  <c r="F137" i="3"/>
  <c r="F145" i="3"/>
  <c r="F153" i="3"/>
  <c r="F161" i="3"/>
  <c r="F169" i="3"/>
  <c r="F177" i="3"/>
  <c r="F185" i="3"/>
  <c r="F193" i="3"/>
  <c r="H207" i="3"/>
  <c r="I118" i="3" l="1"/>
  <c r="H118" i="3"/>
  <c r="I120" i="3"/>
  <c r="H120" i="3"/>
  <c r="I114" i="3"/>
  <c r="H114" i="3"/>
  <c r="I24" i="3"/>
  <c r="H24" i="3"/>
  <c r="I129" i="3"/>
  <c r="H129" i="3"/>
  <c r="H20" i="3"/>
  <c r="I20" i="3"/>
  <c r="I21" i="3"/>
  <c r="H21" i="3"/>
  <c r="I39" i="3"/>
  <c r="H39" i="3"/>
  <c r="I185" i="3"/>
  <c r="H185" i="3"/>
  <c r="I150" i="3"/>
  <c r="H150" i="3"/>
  <c r="I163" i="3"/>
  <c r="H163" i="3"/>
  <c r="I152" i="3"/>
  <c r="H152" i="3"/>
  <c r="I146" i="3"/>
  <c r="H146" i="3"/>
  <c r="I143" i="3"/>
  <c r="H143" i="3"/>
  <c r="I132" i="3"/>
  <c r="H132" i="3"/>
  <c r="I32" i="3"/>
  <c r="H32" i="3"/>
  <c r="I177" i="3"/>
  <c r="H177" i="3"/>
  <c r="I113" i="3"/>
  <c r="H113" i="3"/>
  <c r="I49" i="3"/>
  <c r="H49" i="3"/>
  <c r="I142" i="3"/>
  <c r="H142" i="3"/>
  <c r="I78" i="3"/>
  <c r="H78" i="3"/>
  <c r="I155" i="3"/>
  <c r="H155" i="3"/>
  <c r="I91" i="3"/>
  <c r="H91" i="3"/>
  <c r="I144" i="3"/>
  <c r="H144" i="3"/>
  <c r="I80" i="3"/>
  <c r="H80" i="3"/>
  <c r="I35" i="3"/>
  <c r="H35" i="3"/>
  <c r="I141" i="3"/>
  <c r="H141" i="3"/>
  <c r="I77" i="3"/>
  <c r="H77" i="3"/>
  <c r="I202" i="3"/>
  <c r="H202" i="3"/>
  <c r="I138" i="3"/>
  <c r="H138" i="3"/>
  <c r="I74" i="3"/>
  <c r="H74" i="3"/>
  <c r="I199" i="3"/>
  <c r="H199" i="3"/>
  <c r="I135" i="3"/>
  <c r="H135" i="3"/>
  <c r="I71" i="3"/>
  <c r="H71" i="3"/>
  <c r="I188" i="3"/>
  <c r="H188" i="3"/>
  <c r="I124" i="3"/>
  <c r="H124" i="3"/>
  <c r="I60" i="3"/>
  <c r="H60" i="3"/>
  <c r="I30" i="3"/>
  <c r="H30" i="3"/>
  <c r="I198" i="3"/>
  <c r="H198" i="3"/>
  <c r="I192" i="3"/>
  <c r="H192" i="3"/>
  <c r="I53" i="3"/>
  <c r="H53" i="3"/>
  <c r="I164" i="3"/>
  <c r="H164" i="3"/>
  <c r="I193" i="3"/>
  <c r="H193" i="3"/>
  <c r="I94" i="3"/>
  <c r="H94" i="3"/>
  <c r="I107" i="3"/>
  <c r="H107" i="3"/>
  <c r="I96" i="3"/>
  <c r="H96" i="3"/>
  <c r="I157" i="3"/>
  <c r="H157" i="3"/>
  <c r="I90" i="3"/>
  <c r="H90" i="3"/>
  <c r="I87" i="3"/>
  <c r="H87" i="3"/>
  <c r="I34" i="3"/>
  <c r="H34" i="3"/>
  <c r="I121" i="3"/>
  <c r="H121" i="3"/>
  <c r="I86" i="3"/>
  <c r="H86" i="3"/>
  <c r="I99" i="3"/>
  <c r="H99" i="3"/>
  <c r="I88" i="3"/>
  <c r="H88" i="3"/>
  <c r="I149" i="3"/>
  <c r="H149" i="3"/>
  <c r="I82" i="3"/>
  <c r="H82" i="3"/>
  <c r="I79" i="3"/>
  <c r="H79" i="3"/>
  <c r="I68" i="3"/>
  <c r="H68" i="3"/>
  <c r="I134" i="3"/>
  <c r="H134" i="3"/>
  <c r="I70" i="3"/>
  <c r="H70" i="3"/>
  <c r="I147" i="3"/>
  <c r="H147" i="3"/>
  <c r="I83" i="3"/>
  <c r="H83" i="3"/>
  <c r="I206" i="3"/>
  <c r="H206" i="3"/>
  <c r="I136" i="3"/>
  <c r="H136" i="3"/>
  <c r="I72" i="3"/>
  <c r="H72" i="3"/>
  <c r="I33" i="3"/>
  <c r="H33" i="3"/>
  <c r="I197" i="3"/>
  <c r="H197" i="3"/>
  <c r="I133" i="3"/>
  <c r="H133" i="3"/>
  <c r="I69" i="3"/>
  <c r="H69" i="3"/>
  <c r="I194" i="3"/>
  <c r="H194" i="3"/>
  <c r="I130" i="3"/>
  <c r="H130" i="3"/>
  <c r="I66" i="3"/>
  <c r="H66" i="3"/>
  <c r="I191" i="3"/>
  <c r="H191" i="3"/>
  <c r="I127" i="3"/>
  <c r="H127" i="3"/>
  <c r="I63" i="3"/>
  <c r="H63" i="3"/>
  <c r="I180" i="3"/>
  <c r="H180" i="3"/>
  <c r="I116" i="3"/>
  <c r="H116" i="3"/>
  <c r="I52" i="3"/>
  <c r="H52" i="3"/>
  <c r="I28" i="3"/>
  <c r="H28" i="3"/>
  <c r="I54" i="3"/>
  <c r="H54" i="3"/>
  <c r="I29" i="3"/>
  <c r="H29" i="3"/>
  <c r="I50" i="3"/>
  <c r="H50" i="3"/>
  <c r="I40" i="3"/>
  <c r="H40" i="3"/>
  <c r="I65" i="3"/>
  <c r="H65" i="3"/>
  <c r="I171" i="3"/>
  <c r="H171" i="3"/>
  <c r="I160" i="3"/>
  <c r="H160" i="3"/>
  <c r="I22" i="3"/>
  <c r="H22" i="3"/>
  <c r="I93" i="3"/>
  <c r="H93" i="3"/>
  <c r="I151" i="3"/>
  <c r="H151" i="3"/>
  <c r="I140" i="3"/>
  <c r="H140" i="3"/>
  <c r="I76" i="3"/>
  <c r="H76" i="3"/>
  <c r="I57" i="3"/>
  <c r="H57" i="3"/>
  <c r="I37" i="3"/>
  <c r="H37" i="3"/>
  <c r="I85" i="3"/>
  <c r="H85" i="3"/>
  <c r="I208" i="3"/>
  <c r="H208" i="3"/>
  <c r="I196" i="3"/>
  <c r="H196" i="3"/>
  <c r="I169" i="3"/>
  <c r="H169" i="3"/>
  <c r="I105" i="3"/>
  <c r="H105" i="3"/>
  <c r="I161" i="3"/>
  <c r="H161" i="3"/>
  <c r="I97" i="3"/>
  <c r="H97" i="3"/>
  <c r="I126" i="3"/>
  <c r="H126" i="3"/>
  <c r="I62" i="3"/>
  <c r="H62" i="3"/>
  <c r="I139" i="3"/>
  <c r="H139" i="3"/>
  <c r="I75" i="3"/>
  <c r="H75" i="3"/>
  <c r="I200" i="3"/>
  <c r="H200" i="3"/>
  <c r="I128" i="3"/>
  <c r="H128" i="3"/>
  <c r="I64" i="3"/>
  <c r="H64" i="3"/>
  <c r="I31" i="3"/>
  <c r="H31" i="3"/>
  <c r="I189" i="3"/>
  <c r="H189" i="3"/>
  <c r="I125" i="3"/>
  <c r="H125" i="3"/>
  <c r="I61" i="3"/>
  <c r="H61" i="3"/>
  <c r="I186" i="3"/>
  <c r="H186" i="3"/>
  <c r="I122" i="3"/>
  <c r="H122" i="3"/>
  <c r="I58" i="3"/>
  <c r="H58" i="3"/>
  <c r="I183" i="3"/>
  <c r="H183" i="3"/>
  <c r="I119" i="3"/>
  <c r="H119" i="3"/>
  <c r="I55" i="3"/>
  <c r="H55" i="3"/>
  <c r="I172" i="3"/>
  <c r="H172" i="3"/>
  <c r="I108" i="3"/>
  <c r="H108" i="3"/>
  <c r="I42" i="3"/>
  <c r="H42" i="3"/>
  <c r="I26" i="3"/>
  <c r="H26" i="3"/>
  <c r="I89" i="3"/>
  <c r="H89" i="3"/>
  <c r="I67" i="3"/>
  <c r="H67" i="3"/>
  <c r="I117" i="3"/>
  <c r="H117" i="3"/>
  <c r="I47" i="3"/>
  <c r="H47" i="3"/>
  <c r="I81" i="3"/>
  <c r="H81" i="3"/>
  <c r="I48" i="3"/>
  <c r="H48" i="3"/>
  <c r="I195" i="3"/>
  <c r="H195" i="3"/>
  <c r="I56" i="3"/>
  <c r="H56" i="3"/>
  <c r="I178" i="3"/>
  <c r="H178" i="3"/>
  <c r="I111" i="3"/>
  <c r="H111" i="3"/>
  <c r="I145" i="3"/>
  <c r="H145" i="3"/>
  <c r="I174" i="3"/>
  <c r="H174" i="3"/>
  <c r="I110" i="3"/>
  <c r="H110" i="3"/>
  <c r="I46" i="3"/>
  <c r="H46" i="3"/>
  <c r="I187" i="3"/>
  <c r="H187" i="3"/>
  <c r="I123" i="3"/>
  <c r="H123" i="3"/>
  <c r="I59" i="3"/>
  <c r="H59" i="3"/>
  <c r="I176" i="3"/>
  <c r="H176" i="3"/>
  <c r="I112" i="3"/>
  <c r="H112" i="3"/>
  <c r="I27" i="3"/>
  <c r="H27" i="3"/>
  <c r="I173" i="3"/>
  <c r="H173" i="3"/>
  <c r="I109" i="3"/>
  <c r="H109" i="3"/>
  <c r="I43" i="3"/>
  <c r="H43" i="3"/>
  <c r="I170" i="3"/>
  <c r="H170" i="3"/>
  <c r="I106" i="3"/>
  <c r="H106" i="3"/>
  <c r="I45" i="3"/>
  <c r="H45" i="3"/>
  <c r="I167" i="3"/>
  <c r="H167" i="3"/>
  <c r="I103" i="3"/>
  <c r="H103" i="3"/>
  <c r="I156" i="3"/>
  <c r="H156" i="3"/>
  <c r="I92" i="3"/>
  <c r="H92" i="3"/>
  <c r="I38" i="3"/>
  <c r="H38" i="3"/>
  <c r="I137" i="3"/>
  <c r="H137" i="3"/>
  <c r="I73" i="3"/>
  <c r="H73" i="3"/>
  <c r="I166" i="3"/>
  <c r="H166" i="3"/>
  <c r="I102" i="3"/>
  <c r="H102" i="3"/>
  <c r="I179" i="3"/>
  <c r="H179" i="3"/>
  <c r="I115" i="3"/>
  <c r="H115" i="3"/>
  <c r="I51" i="3"/>
  <c r="H51" i="3"/>
  <c r="I168" i="3"/>
  <c r="H168" i="3"/>
  <c r="I104" i="3"/>
  <c r="H104" i="3"/>
  <c r="I41" i="3"/>
  <c r="H41" i="3"/>
  <c r="I25" i="3"/>
  <c r="H25" i="3"/>
  <c r="I165" i="3"/>
  <c r="H165" i="3"/>
  <c r="I101" i="3"/>
  <c r="H101" i="3"/>
  <c r="I23" i="3"/>
  <c r="H23" i="3"/>
  <c r="I162" i="3"/>
  <c r="H162" i="3"/>
  <c r="I98" i="3"/>
  <c r="H98" i="3"/>
  <c r="I159" i="3"/>
  <c r="H159" i="3"/>
  <c r="I95" i="3"/>
  <c r="H95" i="3"/>
  <c r="I148" i="3"/>
  <c r="H148" i="3"/>
  <c r="I84" i="3"/>
  <c r="H84" i="3"/>
  <c r="I36" i="3"/>
  <c r="H36" i="3"/>
  <c r="I153" i="3"/>
  <c r="H153" i="3"/>
  <c r="I131" i="3"/>
  <c r="H131" i="3"/>
  <c r="I181" i="3"/>
  <c r="H181" i="3"/>
  <c r="I175" i="3"/>
  <c r="H175" i="3"/>
  <c r="I158" i="3"/>
  <c r="H158" i="3"/>
  <c r="I154" i="3"/>
  <c r="H154" i="3"/>
  <c r="I100" i="3"/>
  <c r="H100" i="3"/>
  <c r="J8" i="3" l="1"/>
  <c r="H8" i="3"/>
</calcChain>
</file>

<file path=xl/sharedStrings.xml><?xml version="1.0" encoding="utf-8"?>
<sst xmlns="http://schemas.openxmlformats.org/spreadsheetml/2006/main" count="3206" uniqueCount="297">
  <si>
    <t>HERRAMIENTA CF1 · ALISTAMIENTO Y VALIDACIÓN DE DATOS DE PRECIPITACIÓN</t>
  </si>
  <si>
    <t>Programa 22230071_v1 · RA1 · Registre el área, documente las fuentes y conserve la trazabilidad. Los datos precargados son exclusivamente demostrativos y deben sustituirse por información verificable.</t>
  </si>
  <si>
    <t>LEYENDA</t>
  </si>
  <si>
    <t>Entrada</t>
  </si>
  <si>
    <t>Fórmula</t>
  </si>
  <si>
    <t>Alerta</t>
  </si>
  <si>
    <t>Ejemplo</t>
  </si>
  <si>
    <t>Unidades en encabezado</t>
  </si>
  <si>
    <t>HOJA 1 · LOCALIZACIÓN DEL ÁREA DE ESTUDIO</t>
  </si>
  <si>
    <t>Campo</t>
  </si>
  <si>
    <t>Valor</t>
  </si>
  <si>
    <t>Metadato espacial</t>
  </si>
  <si>
    <t>Criterio de trazabilidad: cada dato debe responder qué variable representa, de dónde proviene, qué intervalo y área describe, en qué unidad está, qué tratamiento recibió y qué limitación condiciona su uso.</t>
  </si>
  <si>
    <t>Identificador del estudio</t>
  </si>
  <si>
    <t>CASO-DID-001</t>
  </si>
  <si>
    <t>Sistema de referencia</t>
  </si>
  <si>
    <t>MAGNA-SIRGAS / WGS84</t>
  </si>
  <si>
    <t>Nombre del área</t>
  </si>
  <si>
    <t>Caso didáctico — reemplazar</t>
  </si>
  <si>
    <t>Cobertura espacial</t>
  </si>
  <si>
    <t>Punto / polígono del caso</t>
  </si>
  <si>
    <t>Municipio</t>
  </si>
  <si>
    <t>Municipio de ejemplo</t>
  </si>
  <si>
    <t>Responsable del registro</t>
  </si>
  <si>
    <t>Aprendiz</t>
  </si>
  <si>
    <t>Departamento</t>
  </si>
  <si>
    <t>Departamento de ejemplo</t>
  </si>
  <si>
    <t>Fecha de actualización</t>
  </si>
  <si>
    <t>Latitud (°)</t>
  </si>
  <si>
    <t>Longitud (°)</t>
  </si>
  <si>
    <t>Altitud (m s. n. m.)</t>
  </si>
  <si>
    <t>Área de estudio (km²)</t>
  </si>
  <si>
    <t>Área de captación prevista (m²)</t>
  </si>
  <si>
    <t>REGISTRO DE ESTACIONES, PRODUCTOS Y FUENTES CLIMÁTICAS</t>
  </si>
  <si>
    <t>ID</t>
  </si>
  <si>
    <t>Tipo de fuente</t>
  </si>
  <si>
    <t>Estación / producto</t>
  </si>
  <si>
    <t>Código</t>
  </si>
  <si>
    <t>Latitud</t>
  </si>
  <si>
    <t>Longitud</t>
  </si>
  <si>
    <t>Altitud (m)</t>
  </si>
  <si>
    <t>Periodo disponible</t>
  </si>
  <si>
    <t>Frecuencia</t>
  </si>
  <si>
    <t>Variable</t>
  </si>
  <si>
    <t>Unidad</t>
  </si>
  <si>
    <t>Resolución / versión</t>
  </si>
  <si>
    <t>Fuente o URL</t>
  </si>
  <si>
    <t>Fecha consulta</t>
  </si>
  <si>
    <t>Limitaciones / observaciones</t>
  </si>
  <si>
    <t>F-01</t>
  </si>
  <si>
    <t>Ejemplo didáctico</t>
  </si>
  <si>
    <t>Serie sintética de capacitación</t>
  </si>
  <si>
    <t>DID-001</t>
  </si>
  <si>
    <t>1981-2010</t>
  </si>
  <si>
    <t>Mensual</t>
  </si>
  <si>
    <t>Precipitación</t>
  </si>
  <si>
    <t>mm</t>
  </si>
  <si>
    <t>v1 demostrativa</t>
  </si>
  <si>
    <t>Sustituir por IDEAM u otra fuente oficial</t>
  </si>
  <si>
    <t>No usar para estudios reales</t>
  </si>
  <si>
    <t>F-02</t>
  </si>
  <si>
    <t>Fuente oficial</t>
  </si>
  <si>
    <t>Registrar fuente de contraste</t>
  </si>
  <si>
    <t>Pendiente de diligenciamiento</t>
  </si>
  <si>
    <t>F-03</t>
  </si>
  <si>
    <t>F-04</t>
  </si>
  <si>
    <t>DICCIONARIO DE VARIABLES</t>
  </si>
  <si>
    <t>BITÁCORA DE CONTROL Y DECISIONES</t>
  </si>
  <si>
    <t>Hoja</t>
  </si>
  <si>
    <t>Definición / función</t>
  </si>
  <si>
    <t>Tipo</t>
  </si>
  <si>
    <t>Unidad / formato</t>
  </si>
  <si>
    <t>Regla de control</t>
  </si>
  <si>
    <t>Obligatorio</t>
  </si>
  <si>
    <t>Fecha</t>
  </si>
  <si>
    <t>Responsable</t>
  </si>
  <si>
    <t>Acción</t>
  </si>
  <si>
    <t>Registros</t>
  </si>
  <si>
    <t>Hallazgo / decisión</t>
  </si>
  <si>
    <t>Evidencia</t>
  </si>
  <si>
    <t>Hoja 2</t>
  </si>
  <si>
    <t>Mes al que corresponde el registro histórico.</t>
  </si>
  <si>
    <t>yyyy-mm-dd</t>
  </si>
  <si>
    <t>Sin duplicados; secuencia mensual</t>
  </si>
  <si>
    <t>Sí</t>
  </si>
  <si>
    <t>Hojas 1-3</t>
  </si>
  <si>
    <t>Carga de ejemplo</t>
  </si>
  <si>
    <t>Serie y proyecciones demostrativas; sustituir antes de uso técnico.</t>
  </si>
  <si>
    <t>Archivo Excel</t>
  </si>
  <si>
    <t>Precipitación histórica</t>
  </si>
  <si>
    <t>Acumulado observado del periodo.</t>
  </si>
  <si>
    <t>Número</t>
  </si>
  <si>
    <t>Vacío ≠ cero; valor no negativo</t>
  </si>
  <si>
    <t>Calidad del dato</t>
  </si>
  <si>
    <t>Condición asignada después de revisar el registro.</t>
  </si>
  <si>
    <t>Categoría</t>
  </si>
  <si>
    <t>Lista</t>
  </si>
  <si>
    <t>Usar vocabulario controlado</t>
  </si>
  <si>
    <t>Escenario SSP</t>
  </si>
  <si>
    <t>Hoja 3</t>
  </si>
  <si>
    <t>Trayectoria socioeconómica y nivel de forzamiento.</t>
  </si>
  <si>
    <t>SSP</t>
  </si>
  <si>
    <t>Lista de cuatro escenarios</t>
  </si>
  <si>
    <t>Horizonte</t>
  </si>
  <si>
    <t>Periodo futuro al que corresponde la proyección.</t>
  </si>
  <si>
    <t>aaaa-aaaa</t>
  </si>
  <si>
    <t>Lista de cuatro periodos</t>
  </si>
  <si>
    <t>Precipitación proyectada</t>
  </si>
  <si>
    <t>Valor futuro obtenido de una fuente o modelo climático.</t>
  </si>
  <si>
    <t>No negativo; conservar fuente/modelo</t>
  </si>
  <si>
    <t>Cambio absoluto</t>
  </si>
  <si>
    <t>Diferencia entre precipitación futura y de referencia.</t>
  </si>
  <si>
    <t>P futuro − P referencia</t>
  </si>
  <si>
    <t>Automático</t>
  </si>
  <si>
    <t>Cambio porcentual</t>
  </si>
  <si>
    <t>Variación relativa frente al periodo histórico.</t>
  </si>
  <si>
    <t>%</t>
  </si>
  <si>
    <t>(P futuro − P ref.) / P ref.</t>
  </si>
  <si>
    <t>Producto asociado: ficha técnica del área, registro de fuentes, diccionario de variables y bitácora de control. Fuente curricular: CF1.docx, capítulo “Herramienta para presentación de datos históricos y proyectados”.</t>
  </si>
  <si>
    <t>HOJA 2 · DATOS HISTÓRICOS DE PRECIPITACIÓN</t>
  </si>
  <si>
    <t>Pregunta orientadora: ¿Cómo se ha comportado la precipitación en el área de estudio durante el periodo histórico? Reemplace la serie demostrativa por registros oficiales y conserve fecha, estación, unidad, calidad, fuente y observaciones.</t>
  </si>
  <si>
    <t>TABLERO DE CALIDAD Y COMPLETITUD</t>
  </si>
  <si>
    <t>RESUMEN CLIMATOLÓGICO MENSUAL</t>
  </si>
  <si>
    <t>Indicador</t>
  </si>
  <si>
    <t>Resultado</t>
  </si>
  <si>
    <t>Mes n.º</t>
  </si>
  <si>
    <t>Mes</t>
  </si>
  <si>
    <t>Promedio (mm)</t>
  </si>
  <si>
    <t>Fecha inicial</t>
  </si>
  <si>
    <t>Fecha final</t>
  </si>
  <si>
    <t>Registros esperados</t>
  </si>
  <si>
    <t>Registros válidos</t>
  </si>
  <si>
    <t>% faltantes</t>
  </si>
  <si>
    <t>Estado general</t>
  </si>
  <si>
    <t>Enero</t>
  </si>
  <si>
    <t>Valores negativos</t>
  </si>
  <si>
    <t>Unidades distintas de mm</t>
  </si>
  <si>
    <t>Fechas duplicadas</t>
  </si>
  <si>
    <t>Promedio mensual (mm)</t>
  </si>
  <si>
    <t>Mínimo mensual (mm)</t>
  </si>
  <si>
    <t>Máximo mensual (mm)</t>
  </si>
  <si>
    <t>Febrero</t>
  </si>
  <si>
    <t>Años completos</t>
  </si>
  <si>
    <t>Horizonte requerido</t>
  </si>
  <si>
    <t>Ceros válidos</t>
  </si>
  <si>
    <t>Fuente principal</t>
  </si>
  <si>
    <t>Periodo de referencia</t>
  </si>
  <si>
    <t>Naturaleza</t>
  </si>
  <si>
    <t>Marzo</t>
  </si>
  <si>
    <t>Abril</t>
  </si>
  <si>
    <t>Regla de calidad: una celda vacía significa dato faltante; el valor 0 significa ausencia de precipitación medible. No sustituya vacíos por ceros. Antes de analizar, revise continuidad, duplicados, valores negativos, unidades y procedencia.</t>
  </si>
  <si>
    <t>Mayo</t>
  </si>
  <si>
    <t>Junio</t>
  </si>
  <si>
    <t>Julio</t>
  </si>
  <si>
    <t>Agosto</t>
  </si>
  <si>
    <t>Septiembre</t>
  </si>
  <si>
    <t>MATRIZ TRAZABLE · 30 AÑOS × 12 MESES</t>
  </si>
  <si>
    <t>Octubre</t>
  </si>
  <si>
    <t>Noviembre</t>
  </si>
  <si>
    <t>Año</t>
  </si>
  <si>
    <t>Precipitación (mm)</t>
  </si>
  <si>
    <t>Fuente</t>
  </si>
  <si>
    <t>Observaciones</t>
  </si>
  <si>
    <t>Control</t>
  </si>
  <si>
    <t>Diciembre</t>
  </si>
  <si>
    <t>Sustituir por dato oficial</t>
  </si>
  <si>
    <t>RESUMEN ANUAL</t>
  </si>
  <si>
    <t>Precipitación anual (mm)</t>
  </si>
  <si>
    <t>Meses con dato</t>
  </si>
  <si>
    <t>Interpretación: examine estacionalidad, variación entre años, extremos y vacíos antes de trasladar la serie a la Hoja 4. Las gráficas son salidas de apoyo y no reemplazan la revisión de calidad.</t>
  </si>
  <si>
    <t>HOJA 3 · DATOS PROYECTADOS DE PRECIPITACIÓN</t>
  </si>
  <si>
    <t>Pregunta orientadora: ¿Cómo podría cambiar la precipitación bajo diferentes escenarios y horizontes? Registre proyecciones comparables con la referencia histórica y documente escenario, periodo, modelo, resolución, fuente e incertidumbre.</t>
  </si>
  <si>
    <t>TABLERO DE VALIDACIÓN DE PROYECCIONES</t>
  </si>
  <si>
    <t>RESUMEN POR ESCENARIO Y HORIZONTE</t>
  </si>
  <si>
    <t>Escenario</t>
  </si>
  <si>
    <t>Histórico anual (mm)</t>
  </si>
  <si>
    <t>Proyectado anual (mm)</t>
  </si>
  <si>
    <t>Cambio (%)</t>
  </si>
  <si>
    <t>SSP1-2.6</t>
  </si>
  <si>
    <t>SSP2-4.5</t>
  </si>
  <si>
    <t>SSP3-7.0</t>
  </si>
  <si>
    <t>SSP5-8.5</t>
  </si>
  <si>
    <t>Registros cargados</t>
  </si>
  <si>
    <t>Registros con alerta</t>
  </si>
  <si>
    <t>Cambio mínimo</t>
  </si>
  <si>
    <t>Cambio máximo</t>
  </si>
  <si>
    <t>Referencia histórica</t>
  </si>
  <si>
    <t>Escenarios / horizontes</t>
  </si>
  <si>
    <t>4 / 4</t>
  </si>
  <si>
    <t>2021-2040</t>
  </si>
  <si>
    <t>Proyección, no predicción</t>
  </si>
  <si>
    <t>Unidad requerida</t>
  </si>
  <si>
    <t>Periodo histórico</t>
  </si>
  <si>
    <t>Modelos</t>
  </si>
  <si>
    <t>Conservar identificación</t>
  </si>
  <si>
    <t>Resolución</t>
  </si>
  <si>
    <t>Conservar URL/producto</t>
  </si>
  <si>
    <t>Fecha de consulta</t>
  </si>
  <si>
    <t>Registrar</t>
  </si>
  <si>
    <t>2041-2060</t>
  </si>
  <si>
    <t>Control pedagógico</t>
  </si>
  <si>
    <t>Compare periodos equivalentes</t>
  </si>
  <si>
    <t>Control técnico</t>
  </si>
  <si>
    <t>No mezclar escalas/unidades</t>
  </si>
  <si>
    <t>Incertidumbre</t>
  </si>
  <si>
    <t>Declarar dispersión/modelos</t>
  </si>
  <si>
    <t>Salida</t>
  </si>
  <si>
    <t>Cambio absoluto y porcentual</t>
  </si>
  <si>
    <t>Producto</t>
  </si>
  <si>
    <t>Base trazable</t>
  </si>
  <si>
    <t>Uso posterior</t>
  </si>
  <si>
    <t>Hoja 4</t>
  </si>
  <si>
    <t>2061-2080</t>
  </si>
  <si>
    <t>2081-2100</t>
  </si>
  <si>
    <t>Los valores precargados son un conjunto demostrativo construido a partir de la climatología de la Hoja 2. Sustitúyalos por proyecciones oficiales o resultados de modelos y conserve el periodo de referencia, escenario, horizonte, modelo, resolución y fuente.</t>
  </si>
  <si>
    <t>BASE TRAZABLE DE PROYECCIONES · 4 ESCENARIOS × 4 HORIZONTES × 12 MESES</t>
  </si>
  <si>
    <t>Año representativo</t>
  </si>
  <si>
    <t>P histórica ref. (mm)</t>
  </si>
  <si>
    <t>P proyectada (mm)</t>
  </si>
  <si>
    <t>Cambio absoluto (mm)</t>
  </si>
  <si>
    <t>Modelo / conjunto</t>
  </si>
  <si>
    <t>Fuente / producto</t>
  </si>
  <si>
    <t>Observaciones e incertidumbre</t>
  </si>
  <si>
    <t>Conjunto demostrativo</t>
  </si>
  <si>
    <t>Sustituir por IDEAM/CMIP6</t>
  </si>
  <si>
    <t>Ejemplo; declarar dispersión y limitaciones</t>
  </si>
  <si>
    <t>Interpretación: el escenario no es una predicción exacta. Compare horizontes equivalentes, observe magnitud y dirección del cambio, declare la incertidumbre y transfiera a la Hoja 4 únicamente series con unidad, escala, periodo y fuente compatibles.</t>
  </si>
  <si>
    <t>INSTRUCCIONES DE USO Y DILIGENCIAMIENTO · HERRAMIENTA CF1</t>
  </si>
  <si>
    <t>Programa 22230071_v1 · Componente formativo 1 · Alistamiento y validación de datos de precipitación. Esta guía está dirigida al aprendiz y debe leerse antes de modificar las hojas 1, 2 y 3.</t>
  </si>
  <si>
    <t>1. PROPÓSITO FORMATIVO</t>
  </si>
  <si>
    <t>Organizar, documentar y validar información histórica y proyectada de precipitación para que pueda utilizarse de manera trazable en análisis posteriores. Al finalizar, el aprendiz debe diferenciar dato de entrada, fórmula, alerta y ejemplo; reconocer vacíos, duplicados, unidades incompatibles y registros sin fuente; y presentar una base apta para continuar con el componente formativo 2.</t>
  </si>
  <si>
    <t>2. ANTES DE EMPEZAR</t>
  </si>
  <si>
    <t>1</t>
  </si>
  <si>
    <t>Defina el área de estudio, el área de captación, el municipio, las coordenadas y el sistema de referencia.</t>
  </si>
  <si>
    <t>4</t>
  </si>
  <si>
    <t>Disponga de proyecciones con escenario SSP, horizonte, modelo o producto, fuente y unidad claramente identificados.</t>
  </si>
  <si>
    <t>2</t>
  </si>
  <si>
    <t>Seleccione fuentes oficiales o técnicamente trazables y conserve URL, producto, versión, periodo y fecha de consulta.</t>
  </si>
  <si>
    <t>5</t>
  </si>
  <si>
    <t>Guarde una copia del archivo original y trabaje sobre una versión identificada con su nombre, ficha y fecha.</t>
  </si>
  <si>
    <t>3</t>
  </si>
  <si>
    <t>Disponga de una serie mensual histórica suficientemente continua; para el ejercicio se espera una referencia de 30 años.</t>
  </si>
  <si>
    <t>6</t>
  </si>
  <si>
    <t>Recuerde: una celda vacía significa dato ausente; el valor cero significa ausencia medida de precipitación. No son equivalentes.</t>
  </si>
  <si>
    <t>3. CÓDIGO DE COLORES</t>
  </si>
  <si>
    <t>ENTRADA</t>
  </si>
  <si>
    <t>FÓRMULA</t>
  </si>
  <si>
    <t>ALERTA</t>
  </si>
  <si>
    <t>EJEMPLO</t>
  </si>
  <si>
    <t>Diligencie o reemplace datos</t>
  </si>
  <si>
    <t>Resultado automático; no sobrescribir</t>
  </si>
  <si>
    <t>Revise antes de avanzar</t>
  </si>
  <si>
    <t>Dato demostrativo; sustituir</t>
  </si>
  <si>
    <t>4. RUTA DE DILIGENCIAMIENTO</t>
  </si>
  <si>
    <t>Paso</t>
  </si>
  <si>
    <t>Pestaña / bloque</t>
  </si>
  <si>
    <t>Acción del aprendiz</t>
  </si>
  <si>
    <t>Dónde diligenciar</t>
  </si>
  <si>
    <t>Control antes de continuar</t>
  </si>
  <si>
    <t>Hoja 1 · Área y fuentes</t>
  </si>
  <si>
    <t>Reemplace la identificación del caso didáctico y registre la localización, el área de captación y los metadatos espaciales.</t>
  </si>
  <si>
    <t>Celdas azules de los bloques LOCALIZACIÓN y METADATO ESPACIAL.</t>
  </si>
  <si>
    <t>Los datos describen el mismo sitio y las unidades corresponden a cada encabezado.</t>
  </si>
  <si>
    <t>Hoja 1 · Fuentes y trazabilidad</t>
  </si>
  <si>
    <t>Registre cada estación, producto o fuente; actualice el diccionario de variables y anote decisiones en la bitácora.</t>
  </si>
  <si>
    <t>Filas azules de FUENTES, DICCIONARIO y BITÁCORA.</t>
  </si>
  <si>
    <t>Toda serie tiene código, periodo, frecuencia, unidad, versión, fuente, fecha y limitaciones.</t>
  </si>
  <si>
    <t>Hoja 2 · Histórico</t>
  </si>
  <si>
    <t>Pegue la serie mensual en los campos de entrada. Conserve fechas ordenadas, unidad mm y una observación por fila.</t>
  </si>
  <si>
    <t>Solo columnas azules: Fecha, precipitación, unidad, calidad y observaciones. No pegue sobre columnas verdes.</t>
  </si>
  <si>
    <t>No hay fechas duplicadas, valores negativos ni meses faltantes sin documentar; el estado de control queda APTA.</t>
  </si>
  <si>
    <t>Hoja 3 · Proyecciones</t>
  </si>
  <si>
    <t>Registre escenario, horizonte, año, mes, precipitación proyectada, unidad, modelo, fuente y observaciones.</t>
  </si>
  <si>
    <t>Solo columnas azules. Las columnas verdes calculan referencia histórica y cambios absoluto y porcentual.</t>
  </si>
  <si>
    <t>Cada proyección conserva escenario, horizonte, modelo y fuente; no hay valores negativos y el estado queda APTA.</t>
  </si>
  <si>
    <t>Gráficos y producto</t>
  </si>
  <si>
    <t>Revise tendencias históricas, comportamiento mensual y signo del cambio proyectado. Redacte una interpretación breve basada en los datos.</t>
  </si>
  <si>
    <t>Gráficos y resúmenes de las hojas 2 y 3; evidencia complementaria del aprendiz.</t>
  </si>
  <si>
    <t>Los gráficos responden a los datos cargados y la interpretación menciona periodo, fuente, unidades, incertidumbres y limitaciones.</t>
  </si>
  <si>
    <t>5. REGLAS CRÍTICAS Y ERRORES FRECUENTES</t>
  </si>
  <si>
    <t>No escriba unidades dentro de las celdas numéricas; utilice la unidad indicada en el encabezado.</t>
  </si>
  <si>
    <t>No complete vacíos con cero sin evidencia. Registre el faltante, la decisión adoptada y su efecto.</t>
  </si>
  <si>
    <t>No mezcle datos diarios, mensuales y anuales sin documentar el procedimiento de agregación.</t>
  </si>
  <si>
    <t>No interprete una proyección como pronóstico exacto; compare escenarios y declare la fuente y la incertidumbre.</t>
  </si>
  <si>
    <t>No sobrescriba celdas verdes: contienen fórmulas que garantizan la articulación entre hojas.</t>
  </si>
  <si>
    <t>Sustituya todos los datos demostrativos antes de utilizar el libro en un estudio o recomendación técnica.</t>
  </si>
  <si>
    <t>6. PRODUCTO ESPERADO DEL APRENDIZ</t>
  </si>
  <si>
    <t>Entregue el libro con: (1) ficha del área y fuentes completas; (2) serie histórica mensual validada; (3) base de proyecciones con escenario, horizonte, modelo y fuente; (4) diccionario y bitácora actualizados; (5) gráficos revisados; y (6) una interpretación breve que describa hallazgos, controles aplicados, incertidumbres y limitaciones. Nombre sugerido: CF1_Apellidos_Nombre_Ficha_Fecha.xlsx.</t>
  </si>
  <si>
    <t>7. LISTA DE VERIFICACIÓN ANTES DE ENTREGAR</t>
  </si>
  <si>
    <t>☐</t>
  </si>
  <si>
    <t>Reemplacé los datos de ejemplo e identifiqué claramente el área de estudio y el área de captación.</t>
  </si>
  <si>
    <t>Registré fuente, versión, periodo, frecuencia, unidad, fecha de consulta y limitaciones de cada conjunto de datos.</t>
  </si>
  <si>
    <t>La serie histórica está ordenada, sin duplicados ni valores negativos, y los vacíos están documentados.</t>
  </si>
  <si>
    <t>Las proyecciones incluyen escenario SSP, horizonte, modelo o producto, fuente y unidad.</t>
  </si>
  <si>
    <t>No sobrescribí fórmulas y revisé las alertas hasta obtener un estado apto o justificar la novedad.</t>
  </si>
  <si>
    <t>Actualicé la bitácora, revisé los gráficos y redacté una interpretación coherente con los resultados.</t>
  </si>
  <si>
    <t>IMPORTANTE: los datos precargados son exclusivamente didácticos. La calidad del análisis depende de la trazabilidad, consistencia temporal, unidad, cobertura y representatividad de los datos que incorpore el aprendiz.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</si>
</sst>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#,##0.0"/>
    <numFmt numFmtId="166" formatCode="yyyy\-mm\-dd"/>
    <numFmt numFmtId="167" formatCode="0.0%"/>
  </numFmts>
  <fonts count="25">
    <font>
      <sz val="11"/>
      <name val="Carlito"/>
    </font>
    <font>
      <b/>
      <sz val="16"/>
      <color rgb="FFFFFFFF"/>
      <name val="Carlito"/>
    </font>
    <font>
      <i/>
      <sz val="10"/>
      <color rgb="FF1F1F1F"/>
      <name val="Carlito"/>
    </font>
    <font>
      <b/>
      <sz val="11"/>
      <color rgb="FFFFFFFF"/>
      <name val="Carlito"/>
    </font>
    <font>
      <sz val="11"/>
      <color rgb="FF0070C0"/>
      <name val="Carlito"/>
    </font>
    <font>
      <sz val="11"/>
      <color rgb="FF375623"/>
      <name val="Carlito"/>
    </font>
    <font>
      <sz val="11"/>
      <color rgb="FF7F6000"/>
      <name val="Carlito"/>
    </font>
    <font>
      <i/>
      <sz val="11"/>
      <color rgb="FF595959"/>
      <name val="Carlito"/>
    </font>
    <font>
      <b/>
      <sz val="9"/>
      <color rgb="FFFFFFFF"/>
      <name val="Carlito"/>
    </font>
    <font>
      <sz val="9"/>
      <color rgb="FF1F1F1F"/>
      <name val="Carlito"/>
    </font>
    <font>
      <sz val="9"/>
      <color rgb="FF0070C0"/>
      <name val="Carlito"/>
    </font>
    <font>
      <i/>
      <sz val="9"/>
      <color rgb="FF7F6000"/>
      <name val="Carlito"/>
    </font>
    <font>
      <sz val="9"/>
      <color rgb="FF375623"/>
      <name val="Carlito"/>
    </font>
    <font>
      <sz val="10"/>
      <color rgb="FF1F1F1F"/>
      <name val="Carlito"/>
    </font>
    <font>
      <b/>
      <sz val="10"/>
      <color rgb="FF17365D"/>
      <name val="Carlito"/>
    </font>
    <font>
      <b/>
      <sz val="9"/>
      <color rgb="FF0070C0"/>
      <name val="Carlito"/>
    </font>
    <font>
      <b/>
      <sz val="9"/>
      <color rgb="FF375623"/>
      <name val="Carlito"/>
    </font>
    <font>
      <b/>
      <sz val="9"/>
      <color rgb="FF7F6000"/>
      <name val="Carlito"/>
    </font>
    <font>
      <sz val="9"/>
      <color rgb="FF7F6000"/>
      <name val="Carlito"/>
    </font>
    <font>
      <b/>
      <sz val="9"/>
      <color rgb="FF595959"/>
      <name val="Carlito"/>
    </font>
    <font>
      <sz val="9"/>
      <color rgb="FF595959"/>
      <name val="Carlito"/>
    </font>
    <font>
      <b/>
      <sz val="11"/>
      <color rgb="FF17365D"/>
      <name val="Carlito"/>
    </font>
    <font>
      <i/>
      <sz val="10"/>
      <color rgb="FF7F6000"/>
      <name val="Carlito"/>
    </font>
    <font>
      <b/>
      <sz val="12"/>
      <color rgb="FF17365D"/>
      <name val="Carlito"/>
    </font>
    <font>
      <b/>
      <sz val="10"/>
      <color rgb="FF9C0006"/>
      <name val="Carlito"/>
    </font>
  </fonts>
  <fills count="22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595959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595959"/>
      </patternFill>
    </fill>
    <fill>
      <patternFill patternType="solid">
        <fgColor rgb="FFF7F9FB"/>
      </patternFill>
    </fill>
    <fill>
      <patternFill patternType="solid">
        <fgColor rgb="FFF4CCCC"/>
      </patternFill>
    </fill>
  </fills>
  <borders count="24">
    <border>
      <left/>
      <right/>
      <top/>
      <bottom/>
      <diagonal/>
    </border>
    <border>
      <left style="medium">
        <color rgb="FF17365D"/>
      </left>
      <right/>
      <top style="medium">
        <color rgb="FF17365D"/>
      </top>
      <bottom style="medium">
        <color rgb="FF17365D"/>
      </bottom>
      <diagonal/>
    </border>
    <border>
      <left/>
      <right/>
      <top style="medium">
        <color rgb="FF17365D"/>
      </top>
      <bottom style="medium">
        <color rgb="FF17365D"/>
      </bottom>
      <diagonal/>
    </border>
    <border>
      <left/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1F4E78"/>
      </left>
      <right/>
      <top style="medium">
        <color rgb="FF1F4E78"/>
      </top>
      <bottom style="medium">
        <color rgb="FF1F4E78"/>
      </bottom>
      <diagonal/>
    </border>
    <border>
      <left/>
      <right/>
      <top style="medium">
        <color rgb="FF1F4E78"/>
      </top>
      <bottom style="medium">
        <color rgb="FF1F4E78"/>
      </bottom>
      <diagonal/>
    </border>
    <border>
      <left/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thin">
        <color rgb="FFBF9000"/>
      </left>
      <right/>
      <top style="thin">
        <color rgb="FFBF9000"/>
      </top>
      <bottom/>
      <diagonal/>
    </border>
    <border>
      <left/>
      <right/>
      <top style="thin">
        <color rgb="FFBF9000"/>
      </top>
      <bottom/>
      <diagonal/>
    </border>
    <border>
      <left/>
      <right style="thin">
        <color rgb="FFBF9000"/>
      </right>
      <top style="thin">
        <color rgb="FFBF9000"/>
      </top>
      <bottom/>
      <diagonal/>
    </border>
    <border>
      <left style="thin">
        <color rgb="FFBF9000"/>
      </left>
      <right/>
      <top/>
      <bottom/>
      <diagonal/>
    </border>
    <border>
      <left/>
      <right style="thin">
        <color rgb="FFBF9000"/>
      </right>
      <top/>
      <bottom/>
      <diagonal/>
    </border>
    <border>
      <left style="thin">
        <color rgb="FFBF9000"/>
      </left>
      <right/>
      <top/>
      <bottom style="thin">
        <color rgb="FFBF9000"/>
      </bottom>
      <diagonal/>
    </border>
    <border>
      <left/>
      <right/>
      <top/>
      <bottom style="thin">
        <color rgb="FFBF9000"/>
      </bottom>
      <diagonal/>
    </border>
    <border>
      <left/>
      <right style="thin">
        <color rgb="FFBF9000"/>
      </right>
      <top/>
      <bottom style="thin">
        <color rgb="FFBF9000"/>
      </bottom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3" fillId="2" borderId="10" xfId="0" applyFont="1" applyFill="1" applyBorder="1" applyAlignment="1">
      <alignment horizontal="center"/>
    </xf>
    <xf numFmtId="0" fontId="4" fillId="4" borderId="10" xfId="0" applyFont="1" applyFill="1" applyBorder="1"/>
    <xf numFmtId="0" fontId="5" fillId="5" borderId="10" xfId="0" applyFont="1" applyFill="1" applyBorder="1"/>
    <xf numFmtId="0" fontId="6" fillId="6" borderId="10" xfId="0" applyFont="1" applyFill="1" applyBorder="1"/>
    <xf numFmtId="0" fontId="7" fillId="7" borderId="10" xfId="0" applyFont="1" applyFill="1" applyBorder="1"/>
    <xf numFmtId="0" fontId="7" fillId="8" borderId="10" xfId="0" applyFont="1" applyFill="1" applyBorder="1"/>
    <xf numFmtId="0" fontId="0" fillId="0" borderId="10" xfId="0" applyBorder="1"/>
    <xf numFmtId="0" fontId="8" fillId="10" borderId="10" xfId="0" applyFont="1" applyFill="1" applyBorder="1" applyAlignment="1">
      <alignment horizontal="center" vertical="center" wrapText="1"/>
    </xf>
    <xf numFmtId="0" fontId="9" fillId="8" borderId="10" xfId="0" applyFont="1" applyFill="1" applyBorder="1" applyAlignment="1">
      <alignment vertical="center" wrapText="1"/>
    </xf>
    <xf numFmtId="0" fontId="10" fillId="4" borderId="10" xfId="0" applyFont="1" applyFill="1" applyBorder="1" applyAlignment="1">
      <alignment vertical="center" wrapText="1"/>
    </xf>
    <xf numFmtId="164" fontId="10" fillId="4" borderId="10" xfId="0" applyNumberFormat="1" applyFont="1" applyFill="1" applyBorder="1" applyAlignment="1">
      <alignment vertical="center" wrapText="1"/>
    </xf>
    <xf numFmtId="165" fontId="10" fillId="4" borderId="10" xfId="0" applyNumberFormat="1" applyFont="1" applyFill="1" applyBorder="1" applyAlignment="1">
      <alignment vertical="center" wrapText="1"/>
    </xf>
    <xf numFmtId="166" fontId="10" fillId="4" borderId="10" xfId="0" applyNumberFormat="1" applyFont="1" applyFill="1" applyBorder="1" applyAlignment="1">
      <alignment vertical="center" wrapText="1"/>
    </xf>
    <xf numFmtId="3" fontId="10" fillId="4" borderId="10" xfId="0" applyNumberFormat="1" applyFont="1" applyFill="1" applyBorder="1" applyAlignment="1">
      <alignment vertical="center" wrapText="1"/>
    </xf>
    <xf numFmtId="0" fontId="12" fillId="5" borderId="10" xfId="0" applyFont="1" applyFill="1" applyBorder="1" applyAlignment="1">
      <alignment vertical="center" wrapText="1"/>
    </xf>
    <xf numFmtId="166" fontId="12" fillId="5" borderId="10" xfId="0" applyNumberFormat="1" applyFont="1" applyFill="1" applyBorder="1" applyAlignment="1">
      <alignment vertical="center" wrapText="1"/>
    </xf>
    <xf numFmtId="167" fontId="12" fillId="5" borderId="10" xfId="0" applyNumberFormat="1" applyFont="1" applyFill="1" applyBorder="1" applyAlignment="1">
      <alignment vertical="center" wrapText="1"/>
    </xf>
    <xf numFmtId="165" fontId="12" fillId="5" borderId="10" xfId="0" applyNumberFormat="1" applyFont="1" applyFill="1" applyBorder="1" applyAlignment="1">
      <alignment vertical="center" wrapText="1"/>
    </xf>
    <xf numFmtId="3" fontId="12" fillId="5" borderId="10" xfId="0" applyNumberFormat="1" applyFont="1" applyFill="1" applyBorder="1" applyAlignment="1">
      <alignment vertical="center" wrapText="1"/>
    </xf>
    <xf numFmtId="0" fontId="14" fillId="12" borderId="10" xfId="0" applyFont="1" applyFill="1" applyBorder="1" applyAlignment="1">
      <alignment horizontal="center" vertical="center" wrapText="1"/>
    </xf>
    <xf numFmtId="0" fontId="8" fillId="19" borderId="10" xfId="0" applyFont="1" applyFill="1" applyBorder="1" applyAlignment="1">
      <alignment horizontal="center" vertical="center" wrapText="1"/>
    </xf>
    <xf numFmtId="0" fontId="21" fillId="12" borderId="10" xfId="0" applyFont="1" applyFill="1" applyBorder="1" applyAlignment="1">
      <alignment horizontal="center" vertical="center" wrapText="1"/>
    </xf>
    <xf numFmtId="0" fontId="23" fillId="12" borderId="10" xfId="0" applyFont="1" applyFill="1" applyBorder="1" applyAlignment="1">
      <alignment horizontal="center" vertical="center" wrapText="1"/>
    </xf>
    <xf numFmtId="0" fontId="9" fillId="14" borderId="10" xfId="0" applyFont="1" applyFill="1" applyBorder="1" applyAlignment="1">
      <alignment horizontal="left" vertical="center" wrapText="1"/>
    </xf>
    <xf numFmtId="0" fontId="9" fillId="20" borderId="10" xfId="0" applyFont="1" applyFill="1" applyBorder="1" applyAlignment="1">
      <alignment horizontal="left" vertical="center" wrapText="1"/>
    </xf>
    <xf numFmtId="0" fontId="24" fillId="21" borderId="4" xfId="0" applyFont="1" applyFill="1" applyBorder="1" applyAlignment="1">
      <alignment horizontal="left" vertical="center" wrapText="1"/>
    </xf>
    <xf numFmtId="0" fontId="24" fillId="21" borderId="5" xfId="0" applyFont="1" applyFill="1" applyBorder="1" applyAlignment="1">
      <alignment horizontal="left" vertical="center" wrapText="1"/>
    </xf>
    <xf numFmtId="0" fontId="24" fillId="21" borderId="6" xfId="0" applyFont="1" applyFill="1" applyBorder="1" applyAlignment="1">
      <alignment horizontal="left" vertical="center" wrapText="1"/>
    </xf>
    <xf numFmtId="0" fontId="24" fillId="21" borderId="22" xfId="0" applyFont="1" applyFill="1" applyBorder="1" applyAlignment="1">
      <alignment horizontal="left" vertical="center" wrapText="1"/>
    </xf>
    <xf numFmtId="0" fontId="24" fillId="21" borderId="0" xfId="0" applyFont="1" applyFill="1" applyAlignment="1">
      <alignment horizontal="left" vertical="center" wrapText="1"/>
    </xf>
    <xf numFmtId="0" fontId="24" fillId="21" borderId="23" xfId="0" applyFont="1" applyFill="1" applyBorder="1" applyAlignment="1">
      <alignment horizontal="left" vertical="center" wrapText="1"/>
    </xf>
    <xf numFmtId="0" fontId="24" fillId="21" borderId="7" xfId="0" applyFont="1" applyFill="1" applyBorder="1" applyAlignment="1">
      <alignment horizontal="left" vertical="center" wrapText="1"/>
    </xf>
    <xf numFmtId="0" fontId="24" fillId="21" borderId="8" xfId="0" applyFont="1" applyFill="1" applyBorder="1" applyAlignment="1">
      <alignment horizontal="left" vertical="center" wrapText="1"/>
    </xf>
    <xf numFmtId="0" fontId="24" fillId="21" borderId="9" xfId="0" applyFont="1" applyFill="1" applyBorder="1" applyAlignment="1">
      <alignment horizontal="left" vertical="center" wrapText="1"/>
    </xf>
    <xf numFmtId="0" fontId="3" fillId="13" borderId="11" xfId="0" applyFont="1" applyFill="1" applyBorder="1" applyAlignment="1">
      <alignment horizontal="left" vertical="center"/>
    </xf>
    <xf numFmtId="0" fontId="3" fillId="13" borderId="12" xfId="0" applyFont="1" applyFill="1" applyBorder="1" applyAlignment="1">
      <alignment horizontal="left" vertical="center"/>
    </xf>
    <xf numFmtId="0" fontId="3" fillId="13" borderId="13" xfId="0" applyFont="1" applyFill="1" applyBorder="1" applyAlignment="1">
      <alignment horizontal="left" vertical="center"/>
    </xf>
    <xf numFmtId="0" fontId="22" fillId="17" borderId="4" xfId="0" applyFont="1" applyFill="1" applyBorder="1" applyAlignment="1">
      <alignment horizontal="left" vertical="center" wrapText="1"/>
    </xf>
    <xf numFmtId="0" fontId="22" fillId="17" borderId="5" xfId="0" applyFont="1" applyFill="1" applyBorder="1" applyAlignment="1">
      <alignment horizontal="left" vertical="center" wrapText="1"/>
    </xf>
    <xf numFmtId="0" fontId="22" fillId="17" borderId="6" xfId="0" applyFont="1" applyFill="1" applyBorder="1" applyAlignment="1">
      <alignment horizontal="left" vertical="center" wrapText="1"/>
    </xf>
    <xf numFmtId="0" fontId="22" fillId="17" borderId="22" xfId="0" applyFont="1" applyFill="1" applyBorder="1" applyAlignment="1">
      <alignment horizontal="left" vertical="center" wrapText="1"/>
    </xf>
    <xf numFmtId="0" fontId="22" fillId="17" borderId="0" xfId="0" applyFont="1" applyFill="1" applyAlignment="1">
      <alignment horizontal="left" vertical="center" wrapText="1"/>
    </xf>
    <xf numFmtId="0" fontId="22" fillId="17" borderId="23" xfId="0" applyFont="1" applyFill="1" applyBorder="1" applyAlignment="1">
      <alignment horizontal="left" vertical="center" wrapText="1"/>
    </xf>
    <xf numFmtId="0" fontId="22" fillId="17" borderId="7" xfId="0" applyFont="1" applyFill="1" applyBorder="1" applyAlignment="1">
      <alignment horizontal="left" vertical="center" wrapText="1"/>
    </xf>
    <xf numFmtId="0" fontId="22" fillId="17" borderId="8" xfId="0" applyFont="1" applyFill="1" applyBorder="1" applyAlignment="1">
      <alignment horizontal="left" vertical="center" wrapText="1"/>
    </xf>
    <xf numFmtId="0" fontId="22" fillId="17" borderId="9" xfId="0" applyFont="1" applyFill="1" applyBorder="1" applyAlignment="1">
      <alignment horizontal="left" vertical="center" wrapText="1"/>
    </xf>
    <xf numFmtId="0" fontId="8" fillId="19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center" vertical="center"/>
    </xf>
    <xf numFmtId="0" fontId="10" fillId="15" borderId="10" xfId="0" applyFont="1" applyFill="1" applyBorder="1" applyAlignment="1">
      <alignment horizontal="center" vertical="center" wrapText="1"/>
    </xf>
    <xf numFmtId="0" fontId="16" fillId="16" borderId="10" xfId="0" applyFont="1" applyFill="1" applyBorder="1" applyAlignment="1">
      <alignment horizontal="center" vertical="center"/>
    </xf>
    <xf numFmtId="0" fontId="12" fillId="16" borderId="10" xfId="0" applyFont="1" applyFill="1" applyBorder="1" applyAlignment="1">
      <alignment horizontal="center" vertical="center" wrapText="1"/>
    </xf>
    <xf numFmtId="0" fontId="17" fillId="17" borderId="10" xfId="0" applyFont="1" applyFill="1" applyBorder="1" applyAlignment="1">
      <alignment horizontal="center" vertical="center"/>
    </xf>
    <xf numFmtId="0" fontId="18" fillId="17" borderId="10" xfId="0" applyFont="1" applyFill="1" applyBorder="1" applyAlignment="1">
      <alignment horizontal="center" vertical="center" wrapText="1"/>
    </xf>
    <xf numFmtId="0" fontId="19" fillId="18" borderId="10" xfId="0" applyFont="1" applyFill="1" applyBorder="1" applyAlignment="1">
      <alignment horizontal="center" vertical="center"/>
    </xf>
    <xf numFmtId="0" fontId="20" fillId="18" borderId="10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left" vertical="center" wrapText="1"/>
    </xf>
    <xf numFmtId="0" fontId="2" fillId="12" borderId="5" xfId="0" applyFont="1" applyFill="1" applyBorder="1" applyAlignment="1">
      <alignment horizontal="left" vertical="center" wrapText="1"/>
    </xf>
    <xf numFmtId="0" fontId="2" fillId="12" borderId="6" xfId="0" applyFont="1" applyFill="1" applyBorder="1" applyAlignment="1">
      <alignment horizontal="left" vertical="center" wrapText="1"/>
    </xf>
    <xf numFmtId="0" fontId="2" fillId="12" borderId="7" xfId="0" applyFont="1" applyFill="1" applyBorder="1" applyAlignment="1">
      <alignment horizontal="left" vertical="center" wrapText="1"/>
    </xf>
    <xf numFmtId="0" fontId="2" fillId="12" borderId="8" xfId="0" applyFont="1" applyFill="1" applyBorder="1" applyAlignment="1">
      <alignment horizontal="left" vertical="center" wrapText="1"/>
    </xf>
    <xf numFmtId="0" fontId="2" fillId="12" borderId="9" xfId="0" applyFont="1" applyFill="1" applyBorder="1" applyAlignment="1">
      <alignment horizontal="left" vertical="center" wrapText="1"/>
    </xf>
    <xf numFmtId="0" fontId="13" fillId="14" borderId="4" xfId="0" applyFont="1" applyFill="1" applyBorder="1" applyAlignment="1">
      <alignment horizontal="left" vertical="center" wrapText="1"/>
    </xf>
    <xf numFmtId="0" fontId="13" fillId="14" borderId="5" xfId="0" applyFont="1" applyFill="1" applyBorder="1" applyAlignment="1">
      <alignment horizontal="left" vertical="center" wrapText="1"/>
    </xf>
    <xf numFmtId="0" fontId="13" fillId="14" borderId="6" xfId="0" applyFont="1" applyFill="1" applyBorder="1" applyAlignment="1">
      <alignment horizontal="left" vertical="center" wrapText="1"/>
    </xf>
    <xf numFmtId="0" fontId="13" fillId="14" borderId="7" xfId="0" applyFont="1" applyFill="1" applyBorder="1" applyAlignment="1">
      <alignment horizontal="left" vertical="center" wrapText="1"/>
    </xf>
    <xf numFmtId="0" fontId="13" fillId="14" borderId="8" xfId="0" applyFont="1" applyFill="1" applyBorder="1" applyAlignment="1">
      <alignment horizontal="left" vertical="center" wrapText="1"/>
    </xf>
    <xf numFmtId="0" fontId="13" fillId="14" borderId="9" xfId="0" applyFont="1" applyFill="1" applyBorder="1" applyAlignment="1">
      <alignment horizontal="left" vertical="center" wrapText="1"/>
    </xf>
    <xf numFmtId="0" fontId="3" fillId="9" borderId="11" xfId="0" applyFont="1" applyFill="1" applyBorder="1" applyAlignment="1">
      <alignment horizontal="left" vertical="center"/>
    </xf>
    <xf numFmtId="0" fontId="3" fillId="9" borderId="12" xfId="0" applyFont="1" applyFill="1" applyBorder="1" applyAlignment="1">
      <alignment horizontal="left" vertical="center"/>
    </xf>
    <xf numFmtId="0" fontId="3" fillId="9" borderId="13" xfId="0" applyFont="1" applyFill="1" applyBorder="1" applyAlignment="1">
      <alignment horizontal="left" vertical="center"/>
    </xf>
    <xf numFmtId="0" fontId="11" fillId="6" borderId="14" xfId="0" applyFont="1" applyFill="1" applyBorder="1" applyAlignment="1">
      <alignment vertical="center" wrapText="1"/>
    </xf>
    <xf numFmtId="0" fontId="11" fillId="6" borderId="15" xfId="0" applyFont="1" applyFill="1" applyBorder="1" applyAlignment="1">
      <alignment vertical="center" wrapText="1"/>
    </xf>
    <xf numFmtId="0" fontId="11" fillId="6" borderId="16" xfId="0" applyFont="1" applyFill="1" applyBorder="1" applyAlignment="1">
      <alignment vertical="center" wrapText="1"/>
    </xf>
    <xf numFmtId="0" fontId="11" fillId="6" borderId="17" xfId="0" applyFont="1" applyFill="1" applyBorder="1" applyAlignment="1">
      <alignment vertical="center" wrapText="1"/>
    </xf>
    <xf numFmtId="0" fontId="11" fillId="6" borderId="0" xfId="0" applyFont="1" applyFill="1" applyAlignment="1">
      <alignment vertical="center" wrapText="1"/>
    </xf>
    <xf numFmtId="0" fontId="11" fillId="6" borderId="18" xfId="0" applyFont="1" applyFill="1" applyBorder="1" applyAlignment="1">
      <alignment vertical="center" wrapText="1"/>
    </xf>
    <xf numFmtId="0" fontId="11" fillId="6" borderId="19" xfId="0" applyFont="1" applyFill="1" applyBorder="1" applyAlignment="1">
      <alignment vertical="center" wrapText="1"/>
    </xf>
    <xf numFmtId="0" fontId="11" fillId="6" borderId="20" xfId="0" applyFont="1" applyFill="1" applyBorder="1" applyAlignment="1">
      <alignment vertical="center" wrapText="1"/>
    </xf>
    <xf numFmtId="0" fontId="11" fillId="6" borderId="2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9" xfId="0" applyFont="1" applyFill="1" applyBorder="1" applyAlignment="1">
      <alignment horizontal="left" vertical="center" wrapText="1"/>
    </xf>
  </cellXfs>
  <cellStyles count="1">
    <cellStyle name="Normal" xfId="0" builtinId="0"/>
  </cellStyles>
  <dxfs count="24">
    <dxf>
      <font>
        <color rgb="FF9C5700"/>
      </font>
      <fill>
        <patternFill>
          <bgColor rgb="FFF4B183"/>
        </patternFill>
      </fill>
    </dxf>
    <dxf>
      <font>
        <color rgb="FF9C0006"/>
      </font>
      <fill>
        <patternFill>
          <bgColor rgb="FFF4CCCC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color rgb="FF9C5700"/>
      </font>
      <fill>
        <patternFill>
          <bgColor rgb="FFF4B183"/>
        </patternFill>
      </fill>
    </dxf>
    <dxf>
      <font>
        <color rgb="FF9C0006"/>
      </font>
      <fill>
        <patternFill>
          <bgColor rgb="FFF4CCCC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9C0006"/>
      </font>
      <fill>
        <patternFill>
          <bgColor rgb="FFF4CCCC"/>
        </patternFill>
      </fill>
    </dxf>
    <dxf>
      <font>
        <color rgb="FF9C5700"/>
      </font>
      <fill>
        <patternFill>
          <bgColor rgb="FFF4B183"/>
        </patternFill>
      </fill>
    </dxf>
    <dxf>
      <font>
        <color rgb="FF9C0006"/>
      </font>
      <fill>
        <patternFill>
          <bgColor rgb="FFF4CCCC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color rgb="FF9C5700"/>
      </font>
      <fill>
        <patternFill>
          <bgColor rgb="FFF4B183"/>
        </patternFill>
      </fill>
    </dxf>
    <dxf>
      <font>
        <color rgb="FF9C0006"/>
      </font>
      <fill>
        <patternFill>
          <bgColor rgb="FFF4CCCC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375623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t>Patrón mensual histórico (mm)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Promedio (mm)</c:v>
          </c:tx>
          <c:marker>
            <c:symbol val="none"/>
          </c:marker>
          <c:cat>
            <c:strRef>
              <c:f>'Hoja 2 - Histórico'!$O$8:$O$19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'Hoja 2 - Histórico'!$P$8:$P$19</c:f>
              <c:numCache>
                <c:formatCode>#,##0.0</c:formatCode>
                <c:ptCount val="12"/>
                <c:pt idx="0">
                  <c:v>64.923333333333346</c:v>
                </c:pt>
                <c:pt idx="1">
                  <c:v>75.066666666666677</c:v>
                </c:pt>
                <c:pt idx="2">
                  <c:v>110.1</c:v>
                </c:pt>
                <c:pt idx="3">
                  <c:v>154.96999999999991</c:v>
                </c:pt>
                <c:pt idx="4">
                  <c:v>139.87333333333333</c:v>
                </c:pt>
                <c:pt idx="5">
                  <c:v>84.956666666666663</c:v>
                </c:pt>
                <c:pt idx="6">
                  <c:v>70.029999999999987</c:v>
                </c:pt>
                <c:pt idx="7">
                  <c:v>75.036666666666662</c:v>
                </c:pt>
                <c:pt idx="8">
                  <c:v>119.9666666666667</c:v>
                </c:pt>
                <c:pt idx="9">
                  <c:v>159.85333333333332</c:v>
                </c:pt>
                <c:pt idx="10">
                  <c:v>134.94666666666666</c:v>
                </c:pt>
                <c:pt idx="11">
                  <c:v>80.049999999999983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A7-4A89-8AB2-9FEC585F6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s-CO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Precipitación (mm)</a:t>
                </a:r>
              </a:p>
            </c:rich>
          </c:tx>
          <c:overlay val="0"/>
        </c:title>
        <c:numFmt formatCode="#,##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t>Precipitación anual 1981–2010 (mm)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Precipitación anual (mm)</c:v>
          </c:tx>
          <c:marker>
            <c:symbol val="none"/>
          </c:marker>
          <c:cat>
            <c:numRef>
              <c:f>'Hoja 2 - Histórico'!$N$24:$N$53</c:f>
              <c:numCache>
                <c:formatCode>General</c:formatCode>
                <c:ptCount val="30"/>
                <c:pt idx="0">
                  <c:v>1981</c:v>
                </c:pt>
                <c:pt idx="1">
                  <c:v>1982</c:v>
                </c:pt>
                <c:pt idx="2">
                  <c:v>1983</c:v>
                </c:pt>
                <c:pt idx="3">
                  <c:v>1984</c:v>
                </c:pt>
                <c:pt idx="4">
                  <c:v>1985</c:v>
                </c:pt>
                <c:pt idx="5">
                  <c:v>1986</c:v>
                </c:pt>
                <c:pt idx="6">
                  <c:v>1987</c:v>
                </c:pt>
                <c:pt idx="7">
                  <c:v>1988</c:v>
                </c:pt>
                <c:pt idx="8">
                  <c:v>1989</c:v>
                </c:pt>
                <c:pt idx="9">
                  <c:v>1990</c:v>
                </c:pt>
                <c:pt idx="10">
                  <c:v>1991</c:v>
                </c:pt>
                <c:pt idx="11">
                  <c:v>1992</c:v>
                </c:pt>
                <c:pt idx="12">
                  <c:v>1993</c:v>
                </c:pt>
                <c:pt idx="13">
                  <c:v>1994</c:v>
                </c:pt>
                <c:pt idx="14">
                  <c:v>1995</c:v>
                </c:pt>
                <c:pt idx="15">
                  <c:v>1996</c:v>
                </c:pt>
                <c:pt idx="16">
                  <c:v>1997</c:v>
                </c:pt>
                <c:pt idx="17">
                  <c:v>1998</c:v>
                </c:pt>
                <c:pt idx="18">
                  <c:v>1999</c:v>
                </c:pt>
                <c:pt idx="19">
                  <c:v>2000</c:v>
                </c:pt>
                <c:pt idx="20">
                  <c:v>2001</c:v>
                </c:pt>
                <c:pt idx="21">
                  <c:v>2002</c:v>
                </c:pt>
                <c:pt idx="22">
                  <c:v>2003</c:v>
                </c:pt>
                <c:pt idx="23">
                  <c:v>2004</c:v>
                </c:pt>
                <c:pt idx="24">
                  <c:v>2005</c:v>
                </c:pt>
                <c:pt idx="25">
                  <c:v>2006</c:v>
                </c:pt>
                <c:pt idx="26">
                  <c:v>2007</c:v>
                </c:pt>
                <c:pt idx="27">
                  <c:v>2008</c:v>
                </c:pt>
                <c:pt idx="28">
                  <c:v>2009</c:v>
                </c:pt>
                <c:pt idx="29">
                  <c:v>2010</c:v>
                </c:pt>
              </c:numCache>
            </c:numRef>
          </c:cat>
          <c:val>
            <c:numRef>
              <c:f>'Hoja 2 - Histórico'!$O$24:$O$53</c:f>
              <c:numCache>
                <c:formatCode>#,##0.0</c:formatCode>
                <c:ptCount val="30"/>
                <c:pt idx="0">
                  <c:v>1248.6000000000001</c:v>
                </c:pt>
                <c:pt idx="1">
                  <c:v>1390.3</c:v>
                </c:pt>
                <c:pt idx="2">
                  <c:v>1349.6</c:v>
                </c:pt>
                <c:pt idx="3">
                  <c:v>1168.8</c:v>
                </c:pt>
                <c:pt idx="4">
                  <c:v>1146.3</c:v>
                </c:pt>
                <c:pt idx="5">
                  <c:v>1307</c:v>
                </c:pt>
                <c:pt idx="6">
                  <c:v>1410.1</c:v>
                </c:pt>
                <c:pt idx="7">
                  <c:v>1307.5999999999999</c:v>
                </c:pt>
                <c:pt idx="8">
                  <c:v>1151</c:v>
                </c:pt>
                <c:pt idx="9">
                  <c:v>1172.5</c:v>
                </c:pt>
                <c:pt idx="10">
                  <c:v>1341.1000000000001</c:v>
                </c:pt>
                <c:pt idx="11">
                  <c:v>1401.3</c:v>
                </c:pt>
                <c:pt idx="12">
                  <c:v>1265.9000000000001</c:v>
                </c:pt>
                <c:pt idx="13">
                  <c:v>1144.6000000000001</c:v>
                </c:pt>
                <c:pt idx="14">
                  <c:v>1187.5999999999999</c:v>
                </c:pt>
                <c:pt idx="15">
                  <c:v>1348.3</c:v>
                </c:pt>
                <c:pt idx="16">
                  <c:v>1446.8999999999996</c:v>
                </c:pt>
                <c:pt idx="17">
                  <c:v>1211.1000000000001</c:v>
                </c:pt>
                <c:pt idx="18">
                  <c:v>1114.8999999999999</c:v>
                </c:pt>
                <c:pt idx="19">
                  <c:v>1246.4999999999998</c:v>
                </c:pt>
                <c:pt idx="20">
                  <c:v>1390.5000000000002</c:v>
                </c:pt>
                <c:pt idx="21">
                  <c:v>1363.7999999999997</c:v>
                </c:pt>
                <c:pt idx="22">
                  <c:v>1197.7</c:v>
                </c:pt>
                <c:pt idx="23">
                  <c:v>1136.0999999999999</c:v>
                </c:pt>
                <c:pt idx="24">
                  <c:v>1275.6000000000001</c:v>
                </c:pt>
                <c:pt idx="25">
                  <c:v>1408.2</c:v>
                </c:pt>
                <c:pt idx="26">
                  <c:v>1337.4000000000003</c:v>
                </c:pt>
                <c:pt idx="27">
                  <c:v>1168.5999999999999</c:v>
                </c:pt>
                <c:pt idx="28">
                  <c:v>1147.8</c:v>
                </c:pt>
                <c:pt idx="29">
                  <c:v>1307.5000000000002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7-4CE0-8CA0-039F1A2FE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/>
            </a:pPr>
            <a:endParaRPr lang="es-CO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Precipitación (mm)</a:t>
                </a:r>
              </a:p>
            </c:rich>
          </c:tx>
          <c:overlay val="0"/>
        </c:title>
        <c:numFmt formatCode="#,##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t>Precipitación anual proyectada por escenario (mm)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SSP1-2.6</c:v>
          </c:tx>
          <c:marker>
            <c:symbol val="none"/>
          </c:marker>
          <c:cat>
            <c:strRef>
              <c:f>'Hoja 3 - Proyecciones'!$V$8:$V$11</c:f>
              <c:strCache>
                <c:ptCount val="4"/>
                <c:pt idx="0">
                  <c:v>2021-2040</c:v>
                </c:pt>
                <c:pt idx="1">
                  <c:v>2041-2060</c:v>
                </c:pt>
                <c:pt idx="2">
                  <c:v>2061-2080</c:v>
                </c:pt>
                <c:pt idx="3">
                  <c:v>2081-2100</c:v>
                </c:pt>
              </c:strCache>
            </c:strRef>
          </c:cat>
          <c:val>
            <c:numRef>
              <c:f>'Hoja 3 - Proyecciones'!$W$8:$W$11</c:f>
              <c:numCache>
                <c:formatCode>#,##0</c:formatCode>
                <c:ptCount val="4"/>
                <c:pt idx="0">
                  <c:v>1295.3</c:v>
                </c:pt>
                <c:pt idx="1">
                  <c:v>1282.6000000000001</c:v>
                </c:pt>
                <c:pt idx="2">
                  <c:v>1257.0999999999999</c:v>
                </c:pt>
                <c:pt idx="3">
                  <c:v>1244.4000000000001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77-4C77-A2EF-35D669ADC861}"/>
            </c:ext>
          </c:extLst>
        </c:ser>
        <c:ser>
          <c:idx val="1"/>
          <c:order val="1"/>
          <c:tx>
            <c:v>SSP2-4.5</c:v>
          </c:tx>
          <c:marker>
            <c:symbol val="none"/>
          </c:marker>
          <c:cat>
            <c:strRef>
              <c:f>'Hoja 3 - Proyecciones'!$V$8:$V$11</c:f>
              <c:strCache>
                <c:ptCount val="4"/>
                <c:pt idx="0">
                  <c:v>2021-2040</c:v>
                </c:pt>
                <c:pt idx="1">
                  <c:v>2041-2060</c:v>
                </c:pt>
                <c:pt idx="2">
                  <c:v>2061-2080</c:v>
                </c:pt>
                <c:pt idx="3">
                  <c:v>2081-2100</c:v>
                </c:pt>
              </c:strCache>
            </c:strRef>
          </c:cat>
          <c:val>
            <c:numRef>
              <c:f>'Hoja 3 - Proyecciones'!$X$8:$X$11</c:f>
              <c:numCache>
                <c:formatCode>#,##0</c:formatCode>
                <c:ptCount val="4"/>
                <c:pt idx="0">
                  <c:v>1282.6000000000001</c:v>
                </c:pt>
                <c:pt idx="1">
                  <c:v>1244.4000000000001</c:v>
                </c:pt>
                <c:pt idx="2">
                  <c:v>1219.0000000000002</c:v>
                </c:pt>
                <c:pt idx="3">
                  <c:v>1193.5999999999999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77-4C77-A2EF-35D669ADC861}"/>
            </c:ext>
          </c:extLst>
        </c:ser>
        <c:ser>
          <c:idx val="2"/>
          <c:order val="2"/>
          <c:tx>
            <c:v>SSP3-7.0</c:v>
          </c:tx>
          <c:marker>
            <c:symbol val="none"/>
          </c:marker>
          <c:cat>
            <c:strRef>
              <c:f>'Hoja 3 - Proyecciones'!$V$8:$V$11</c:f>
              <c:strCache>
                <c:ptCount val="4"/>
                <c:pt idx="0">
                  <c:v>2021-2040</c:v>
                </c:pt>
                <c:pt idx="1">
                  <c:v>2041-2060</c:v>
                </c:pt>
                <c:pt idx="2">
                  <c:v>2061-2080</c:v>
                </c:pt>
                <c:pt idx="3">
                  <c:v>2081-2100</c:v>
                </c:pt>
              </c:strCache>
            </c:strRef>
          </c:cat>
          <c:val>
            <c:numRef>
              <c:f>'Hoja 3 - Proyecciones'!$Y$8:$Y$11</c:f>
              <c:numCache>
                <c:formatCode>#,##0</c:formatCode>
                <c:ptCount val="4"/>
                <c:pt idx="0">
                  <c:v>1257.0999999999999</c:v>
                </c:pt>
                <c:pt idx="1">
                  <c:v>1219.0000000000002</c:v>
                </c:pt>
                <c:pt idx="2">
                  <c:v>1168.3</c:v>
                </c:pt>
                <c:pt idx="3">
                  <c:v>1117.5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77-4C77-A2EF-35D669ADC861}"/>
            </c:ext>
          </c:extLst>
        </c:ser>
        <c:ser>
          <c:idx val="3"/>
          <c:order val="3"/>
          <c:tx>
            <c:v>SSP5-8.5</c:v>
          </c:tx>
          <c:marker>
            <c:symbol val="none"/>
          </c:marker>
          <c:cat>
            <c:strRef>
              <c:f>'Hoja 3 - Proyecciones'!$V$8:$V$11</c:f>
              <c:strCache>
                <c:ptCount val="4"/>
                <c:pt idx="0">
                  <c:v>2021-2040</c:v>
                </c:pt>
                <c:pt idx="1">
                  <c:v>2041-2060</c:v>
                </c:pt>
                <c:pt idx="2">
                  <c:v>2061-2080</c:v>
                </c:pt>
                <c:pt idx="3">
                  <c:v>2081-2100</c:v>
                </c:pt>
              </c:strCache>
            </c:strRef>
          </c:cat>
          <c:val>
            <c:numRef>
              <c:f>'Hoja 3 - Proyecciones'!$Z$8:$Z$11</c:f>
              <c:numCache>
                <c:formatCode>#,##0</c:formatCode>
                <c:ptCount val="4"/>
                <c:pt idx="0">
                  <c:v>1244.4000000000001</c:v>
                </c:pt>
                <c:pt idx="1">
                  <c:v>1193.5999999999999</c:v>
                </c:pt>
                <c:pt idx="2">
                  <c:v>1117.5</c:v>
                </c:pt>
                <c:pt idx="3">
                  <c:v>1041.3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477-4C77-A2EF-35D669ADC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s-CO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Precipitación (mm/año)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5</xdr:row>
      <xdr:rowOff>0</xdr:rowOff>
    </xdr:from>
    <xdr:to>
      <xdr:col>25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21</xdr:row>
      <xdr:rowOff>0</xdr:rowOff>
    </xdr:from>
    <xdr:to>
      <xdr:col>25</xdr:col>
      <xdr:colOff>0</xdr:colOff>
      <xdr:row>39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25</xdr:row>
      <xdr:rowOff>0</xdr:rowOff>
    </xdr:from>
    <xdr:to>
      <xdr:col>26</xdr:col>
      <xdr:colOff>0</xdr:colOff>
      <xdr:row>43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6"/>
  <sheetViews>
    <sheetView showGridLines="0" topLeftCell="A29" zoomScale="85" zoomScaleNormal="85" workbookViewId="0">
      <selection activeCell="B37" sqref="B37:L37"/>
    </sheetView>
  </sheetViews>
  <sheetFormatPr baseColWidth="10" defaultColWidth="8.796875" defaultRowHeight="13.8"/>
  <cols>
    <col min="1" max="1" width="5" customWidth="1"/>
    <col min="2" max="6" width="17" customWidth="1"/>
    <col min="7" max="7" width="5" customWidth="1"/>
    <col min="8" max="12" width="17" customWidth="1"/>
  </cols>
  <sheetData>
    <row r="1" spans="1:12" ht="31.95" customHeight="1">
      <c r="A1" s="56" t="s">
        <v>227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8"/>
    </row>
    <row r="2" spans="1:12" ht="22.95" customHeight="1">
      <c r="A2" s="59" t="s">
        <v>228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1"/>
    </row>
    <row r="3" spans="1:12" ht="22.95" customHeight="1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4"/>
    </row>
    <row r="5" spans="1:12" ht="22.95" customHeight="1">
      <c r="A5" s="35" t="s">
        <v>229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7"/>
    </row>
    <row r="6" spans="1:12">
      <c r="A6" s="65" t="s">
        <v>230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7"/>
    </row>
    <row r="7" spans="1:12">
      <c r="A7" s="68"/>
      <c r="B7" s="69"/>
      <c r="C7" s="69"/>
      <c r="D7" s="69"/>
      <c r="E7" s="69"/>
      <c r="F7" s="69"/>
      <c r="G7" s="69"/>
      <c r="H7" s="69"/>
      <c r="I7" s="69"/>
      <c r="J7" s="69"/>
      <c r="K7" s="69"/>
      <c r="L7" s="70"/>
    </row>
    <row r="9" spans="1:12" ht="22.95" customHeight="1">
      <c r="A9" s="35" t="s">
        <v>231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7"/>
    </row>
    <row r="10" spans="1:12" ht="43.05" customHeight="1">
      <c r="A10" s="20" t="s">
        <v>232</v>
      </c>
      <c r="B10" s="24" t="s">
        <v>233</v>
      </c>
      <c r="C10" s="24"/>
      <c r="D10" s="24"/>
      <c r="E10" s="24"/>
      <c r="F10" s="24"/>
      <c r="G10" s="20" t="s">
        <v>234</v>
      </c>
      <c r="H10" s="24" t="s">
        <v>235</v>
      </c>
      <c r="I10" s="24"/>
      <c r="J10" s="24"/>
      <c r="K10" s="24"/>
      <c r="L10" s="24"/>
    </row>
    <row r="11" spans="1:12" ht="43.05" customHeight="1">
      <c r="A11" s="20" t="s">
        <v>236</v>
      </c>
      <c r="B11" s="24" t="s">
        <v>237</v>
      </c>
      <c r="C11" s="24"/>
      <c r="D11" s="24"/>
      <c r="E11" s="24"/>
      <c r="F11" s="24"/>
      <c r="G11" s="20" t="s">
        <v>238</v>
      </c>
      <c r="H11" s="24" t="s">
        <v>239</v>
      </c>
      <c r="I11" s="24"/>
      <c r="J11" s="24"/>
      <c r="K11" s="24"/>
      <c r="L11" s="24"/>
    </row>
    <row r="12" spans="1:12" ht="43.05" customHeight="1">
      <c r="A12" s="20" t="s">
        <v>240</v>
      </c>
      <c r="B12" s="24" t="s">
        <v>241</v>
      </c>
      <c r="C12" s="24"/>
      <c r="D12" s="24"/>
      <c r="E12" s="24"/>
      <c r="F12" s="24"/>
      <c r="G12" s="20" t="s">
        <v>242</v>
      </c>
      <c r="H12" s="24" t="s">
        <v>243</v>
      </c>
      <c r="I12" s="24"/>
      <c r="J12" s="24"/>
      <c r="K12" s="24"/>
      <c r="L12" s="24"/>
    </row>
    <row r="14" spans="1:12" ht="22.95" customHeight="1">
      <c r="A14" s="35" t="s">
        <v>244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7"/>
    </row>
    <row r="15" spans="1:12" ht="22.95" customHeight="1">
      <c r="A15" s="48" t="s">
        <v>245</v>
      </c>
      <c r="B15" s="48"/>
      <c r="C15" s="48"/>
      <c r="D15" s="50" t="s">
        <v>246</v>
      </c>
      <c r="E15" s="50"/>
      <c r="F15" s="50"/>
      <c r="G15" s="52" t="s">
        <v>247</v>
      </c>
      <c r="H15" s="52"/>
      <c r="I15" s="52"/>
      <c r="J15" s="54" t="s">
        <v>248</v>
      </c>
      <c r="K15" s="54"/>
      <c r="L15" s="54"/>
    </row>
    <row r="16" spans="1:12" ht="34.049999999999997" customHeight="1">
      <c r="A16" s="49" t="s">
        <v>249</v>
      </c>
      <c r="B16" s="49"/>
      <c r="C16" s="49"/>
      <c r="D16" s="51" t="s">
        <v>250</v>
      </c>
      <c r="E16" s="51"/>
      <c r="F16" s="51"/>
      <c r="G16" s="53" t="s">
        <v>251</v>
      </c>
      <c r="H16" s="53"/>
      <c r="I16" s="53"/>
      <c r="J16" s="55" t="s">
        <v>252</v>
      </c>
      <c r="K16" s="55"/>
      <c r="L16" s="55"/>
    </row>
    <row r="18" spans="1:12" ht="22.95" customHeight="1">
      <c r="A18" s="35" t="s">
        <v>253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7"/>
    </row>
    <row r="19" spans="1:12" ht="28.05" customHeight="1">
      <c r="A19" s="21" t="s">
        <v>254</v>
      </c>
      <c r="B19" s="47" t="s">
        <v>255</v>
      </c>
      <c r="C19" s="47"/>
      <c r="D19" s="47" t="s">
        <v>256</v>
      </c>
      <c r="E19" s="47"/>
      <c r="F19" s="47"/>
      <c r="G19" s="47" t="s">
        <v>257</v>
      </c>
      <c r="H19" s="47"/>
      <c r="I19" s="47"/>
      <c r="J19" s="47" t="s">
        <v>258</v>
      </c>
      <c r="K19" s="47"/>
      <c r="L19" s="47"/>
    </row>
    <row r="20" spans="1:12" ht="58.05" customHeight="1">
      <c r="A20" s="22">
        <v>1</v>
      </c>
      <c r="B20" s="24" t="s">
        <v>259</v>
      </c>
      <c r="C20" s="24"/>
      <c r="D20" s="24" t="s">
        <v>260</v>
      </c>
      <c r="E20" s="24"/>
      <c r="F20" s="24"/>
      <c r="G20" s="24" t="s">
        <v>261</v>
      </c>
      <c r="H20" s="24"/>
      <c r="I20" s="24"/>
      <c r="J20" s="24" t="s">
        <v>262</v>
      </c>
      <c r="K20" s="24"/>
      <c r="L20" s="24"/>
    </row>
    <row r="21" spans="1:12" ht="61.95" customHeight="1">
      <c r="A21" s="22">
        <v>2</v>
      </c>
      <c r="B21" s="25" t="s">
        <v>263</v>
      </c>
      <c r="C21" s="25"/>
      <c r="D21" s="25" t="s">
        <v>264</v>
      </c>
      <c r="E21" s="25"/>
      <c r="F21" s="25"/>
      <c r="G21" s="25" t="s">
        <v>265</v>
      </c>
      <c r="H21" s="25"/>
      <c r="I21" s="25"/>
      <c r="J21" s="25" t="s">
        <v>266</v>
      </c>
      <c r="K21" s="25"/>
      <c r="L21" s="25"/>
    </row>
    <row r="22" spans="1:12" ht="66" customHeight="1">
      <c r="A22" s="22">
        <v>3</v>
      </c>
      <c r="B22" s="24" t="s">
        <v>267</v>
      </c>
      <c r="C22" s="24"/>
      <c r="D22" s="24" t="s">
        <v>268</v>
      </c>
      <c r="E22" s="24"/>
      <c r="F22" s="24"/>
      <c r="G22" s="24" t="s">
        <v>269</v>
      </c>
      <c r="H22" s="24"/>
      <c r="I22" s="24"/>
      <c r="J22" s="24" t="s">
        <v>270</v>
      </c>
      <c r="K22" s="24"/>
      <c r="L22" s="24"/>
    </row>
    <row r="23" spans="1:12" ht="66" customHeight="1">
      <c r="A23" s="22">
        <v>4</v>
      </c>
      <c r="B23" s="25" t="s">
        <v>271</v>
      </c>
      <c r="C23" s="25"/>
      <c r="D23" s="25" t="s">
        <v>272</v>
      </c>
      <c r="E23" s="25"/>
      <c r="F23" s="25"/>
      <c r="G23" s="25" t="s">
        <v>273</v>
      </c>
      <c r="H23" s="25"/>
      <c r="I23" s="25"/>
      <c r="J23" s="25" t="s">
        <v>274</v>
      </c>
      <c r="K23" s="25"/>
      <c r="L23" s="25"/>
    </row>
    <row r="24" spans="1:12" ht="61.95" customHeight="1">
      <c r="A24" s="22">
        <v>5</v>
      </c>
      <c r="B24" s="24" t="s">
        <v>275</v>
      </c>
      <c r="C24" s="24"/>
      <c r="D24" s="24" t="s">
        <v>276</v>
      </c>
      <c r="E24" s="24"/>
      <c r="F24" s="24"/>
      <c r="G24" s="24" t="s">
        <v>277</v>
      </c>
      <c r="H24" s="24"/>
      <c r="I24" s="24"/>
      <c r="J24" s="24" t="s">
        <v>278</v>
      </c>
      <c r="K24" s="24"/>
      <c r="L24" s="24"/>
    </row>
    <row r="26" spans="1:12" ht="22.95" customHeight="1">
      <c r="A26" s="35" t="s">
        <v>279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7"/>
    </row>
    <row r="27" spans="1:12" ht="43.05" customHeight="1">
      <c r="A27" s="20">
        <v>1</v>
      </c>
      <c r="B27" s="24" t="s">
        <v>280</v>
      </c>
      <c r="C27" s="24"/>
      <c r="D27" s="24"/>
      <c r="E27" s="24"/>
      <c r="F27" s="24"/>
      <c r="G27" s="20">
        <v>4</v>
      </c>
      <c r="H27" s="24" t="s">
        <v>281</v>
      </c>
      <c r="I27" s="24"/>
      <c r="J27" s="24"/>
      <c r="K27" s="24"/>
      <c r="L27" s="24"/>
    </row>
    <row r="28" spans="1:12" ht="43.05" customHeight="1">
      <c r="A28" s="20">
        <v>2</v>
      </c>
      <c r="B28" s="24" t="s">
        <v>282</v>
      </c>
      <c r="C28" s="24"/>
      <c r="D28" s="24"/>
      <c r="E28" s="24"/>
      <c r="F28" s="24"/>
      <c r="G28" s="20">
        <v>5</v>
      </c>
      <c r="H28" s="24" t="s">
        <v>283</v>
      </c>
      <c r="I28" s="24"/>
      <c r="J28" s="24"/>
      <c r="K28" s="24"/>
      <c r="L28" s="24"/>
    </row>
    <row r="29" spans="1:12" ht="43.05" customHeight="1">
      <c r="A29" s="20">
        <v>3</v>
      </c>
      <c r="B29" s="24" t="s">
        <v>284</v>
      </c>
      <c r="C29" s="24"/>
      <c r="D29" s="24"/>
      <c r="E29" s="24"/>
      <c r="F29" s="24"/>
      <c r="G29" s="20">
        <v>6</v>
      </c>
      <c r="H29" s="24" t="s">
        <v>285</v>
      </c>
      <c r="I29" s="24"/>
      <c r="J29" s="24"/>
      <c r="K29" s="24"/>
      <c r="L29" s="24"/>
    </row>
    <row r="31" spans="1:12" ht="22.95" customHeight="1">
      <c r="A31" s="35" t="s">
        <v>286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7"/>
    </row>
    <row r="32" spans="1:12">
      <c r="A32" s="38" t="s">
        <v>287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40"/>
    </row>
    <row r="33" spans="1:12">
      <c r="A33" s="41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3"/>
    </row>
    <row r="34" spans="1:12">
      <c r="A34" s="44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6"/>
    </row>
    <row r="36" spans="1:12" ht="22.95" customHeight="1">
      <c r="A36" s="35" t="s">
        <v>288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7"/>
    </row>
    <row r="37" spans="1:12" ht="28.05" customHeight="1">
      <c r="A37" s="23" t="s">
        <v>289</v>
      </c>
      <c r="B37" s="24" t="s">
        <v>290</v>
      </c>
      <c r="C37" s="24"/>
      <c r="D37" s="24"/>
      <c r="E37" s="24"/>
      <c r="F37" s="24"/>
      <c r="G37" s="24"/>
      <c r="H37" s="24"/>
      <c r="I37" s="24"/>
      <c r="J37" s="24"/>
      <c r="K37" s="24"/>
      <c r="L37" s="24"/>
    </row>
    <row r="38" spans="1:12" ht="28.05" customHeight="1">
      <c r="A38" s="23" t="s">
        <v>289</v>
      </c>
      <c r="B38" s="25" t="s">
        <v>291</v>
      </c>
      <c r="C38" s="25"/>
      <c r="D38" s="25"/>
      <c r="E38" s="25"/>
      <c r="F38" s="25"/>
      <c r="G38" s="25"/>
      <c r="H38" s="25"/>
      <c r="I38" s="25"/>
      <c r="J38" s="25"/>
      <c r="K38" s="25"/>
      <c r="L38" s="25"/>
    </row>
    <row r="39" spans="1:12" ht="28.05" customHeight="1">
      <c r="A39" s="23" t="s">
        <v>289</v>
      </c>
      <c r="B39" s="24" t="s">
        <v>292</v>
      </c>
      <c r="C39" s="24"/>
      <c r="D39" s="24"/>
      <c r="E39" s="24"/>
      <c r="F39" s="24"/>
      <c r="G39" s="24"/>
      <c r="H39" s="24"/>
      <c r="I39" s="24"/>
      <c r="J39" s="24"/>
      <c r="K39" s="24"/>
      <c r="L39" s="24"/>
    </row>
    <row r="40" spans="1:12" ht="28.05" customHeight="1">
      <c r="A40" s="23" t="s">
        <v>289</v>
      </c>
      <c r="B40" s="25" t="s">
        <v>293</v>
      </c>
      <c r="C40" s="25"/>
      <c r="D40" s="25"/>
      <c r="E40" s="25"/>
      <c r="F40" s="25"/>
      <c r="G40" s="25"/>
      <c r="H40" s="25"/>
      <c r="I40" s="25"/>
      <c r="J40" s="25"/>
      <c r="K40" s="25"/>
      <c r="L40" s="25"/>
    </row>
    <row r="41" spans="1:12" ht="28.05" customHeight="1">
      <c r="A41" s="23" t="s">
        <v>289</v>
      </c>
      <c r="B41" s="24" t="s">
        <v>294</v>
      </c>
      <c r="C41" s="24"/>
      <c r="D41" s="24"/>
      <c r="E41" s="24"/>
      <c r="F41" s="24"/>
      <c r="G41" s="24"/>
      <c r="H41" s="24"/>
      <c r="I41" s="24"/>
      <c r="J41" s="24"/>
      <c r="K41" s="24"/>
      <c r="L41" s="24"/>
    </row>
    <row r="42" spans="1:12" ht="28.05" customHeight="1">
      <c r="A42" s="23" t="s">
        <v>289</v>
      </c>
      <c r="B42" s="25" t="s">
        <v>295</v>
      </c>
      <c r="C42" s="25"/>
      <c r="D42" s="25"/>
      <c r="E42" s="25"/>
      <c r="F42" s="25"/>
      <c r="G42" s="25"/>
      <c r="H42" s="25"/>
      <c r="I42" s="25"/>
      <c r="J42" s="25"/>
      <c r="K42" s="25"/>
      <c r="L42" s="25"/>
    </row>
    <row r="44" spans="1:12">
      <c r="A44" s="26" t="s">
        <v>296</v>
      </c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8"/>
    </row>
    <row r="45" spans="1:12">
      <c r="A45" s="29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1"/>
    </row>
    <row r="46" spans="1:12">
      <c r="A46" s="32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4"/>
    </row>
  </sheetData>
  <mergeCells count="62">
    <mergeCell ref="A1:L1"/>
    <mergeCell ref="A2:L3"/>
    <mergeCell ref="A5:L5"/>
    <mergeCell ref="A6:L7"/>
    <mergeCell ref="A9:L9"/>
    <mergeCell ref="B10:F10"/>
    <mergeCell ref="H10:L10"/>
    <mergeCell ref="B11:F11"/>
    <mergeCell ref="H11:L11"/>
    <mergeCell ref="B12:F12"/>
    <mergeCell ref="H12:L12"/>
    <mergeCell ref="A14:L14"/>
    <mergeCell ref="A15:C15"/>
    <mergeCell ref="A16:C16"/>
    <mergeCell ref="D15:F15"/>
    <mergeCell ref="D16:F16"/>
    <mergeCell ref="G15:I15"/>
    <mergeCell ref="G16:I16"/>
    <mergeCell ref="J15:L15"/>
    <mergeCell ref="J16:L16"/>
    <mergeCell ref="A18:L18"/>
    <mergeCell ref="B19:C19"/>
    <mergeCell ref="D19:F19"/>
    <mergeCell ref="G19:I19"/>
    <mergeCell ref="J19:L19"/>
    <mergeCell ref="B20:C20"/>
    <mergeCell ref="D20:F20"/>
    <mergeCell ref="G20:I20"/>
    <mergeCell ref="J20:L20"/>
    <mergeCell ref="B21:C21"/>
    <mergeCell ref="D21:F21"/>
    <mergeCell ref="G21:I21"/>
    <mergeCell ref="J21:L21"/>
    <mergeCell ref="B22:C22"/>
    <mergeCell ref="D22:F22"/>
    <mergeCell ref="G22:I22"/>
    <mergeCell ref="J22:L22"/>
    <mergeCell ref="B23:C23"/>
    <mergeCell ref="D23:F23"/>
    <mergeCell ref="G23:I23"/>
    <mergeCell ref="J23:L23"/>
    <mergeCell ref="B24:C24"/>
    <mergeCell ref="D24:F24"/>
    <mergeCell ref="G24:I24"/>
    <mergeCell ref="J24:L24"/>
    <mergeCell ref="A26:L26"/>
    <mergeCell ref="B27:F27"/>
    <mergeCell ref="H27:L27"/>
    <mergeCell ref="B28:F28"/>
    <mergeCell ref="H28:L28"/>
    <mergeCell ref="B29:F29"/>
    <mergeCell ref="H29:L29"/>
    <mergeCell ref="A31:L31"/>
    <mergeCell ref="A32:L34"/>
    <mergeCell ref="A36:L36"/>
    <mergeCell ref="B37:L37"/>
    <mergeCell ref="B38:L38"/>
    <mergeCell ref="B39:L39"/>
    <mergeCell ref="B40:L40"/>
    <mergeCell ref="B41:L41"/>
    <mergeCell ref="B42:L42"/>
    <mergeCell ref="A44:L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showGridLines="0" topLeftCell="A21" workbookViewId="0">
      <selection activeCell="G34" sqref="G34"/>
    </sheetView>
  </sheetViews>
  <sheetFormatPr baseColWidth="10" defaultColWidth="8.796875" defaultRowHeight="13.8"/>
  <cols>
    <col min="1" max="1" width="13" customWidth="1"/>
    <col min="2" max="2" width="19" customWidth="1"/>
    <col min="3" max="3" width="25" customWidth="1"/>
    <col min="4" max="4" width="15" customWidth="1"/>
    <col min="5" max="7" width="13" customWidth="1"/>
    <col min="8" max="8" width="16" customWidth="1"/>
    <col min="9" max="9" width="14" customWidth="1"/>
    <col min="10" max="10" width="16" customWidth="1"/>
    <col min="11" max="11" width="13" customWidth="1"/>
    <col min="12" max="12" width="18" customWidth="1"/>
    <col min="13" max="13" width="24" customWidth="1"/>
    <col min="14" max="14" width="14" customWidth="1"/>
    <col min="15" max="15" width="28" customWidth="1"/>
  </cols>
  <sheetData>
    <row r="1" spans="1:15" ht="30" customHeight="1">
      <c r="A1" s="83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5"/>
    </row>
    <row r="2" spans="1:15">
      <c r="A2" s="86" t="s">
        <v>1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8"/>
    </row>
    <row r="3" spans="1:15">
      <c r="A3" s="89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1"/>
    </row>
    <row r="4" spans="1:15" ht="14.4">
      <c r="A4" s="1" t="s">
        <v>2</v>
      </c>
      <c r="B4" s="2" t="s">
        <v>3</v>
      </c>
      <c r="C4" s="3" t="s">
        <v>4</v>
      </c>
      <c r="D4" s="4" t="s">
        <v>5</v>
      </c>
      <c r="E4" s="5" t="s">
        <v>6</v>
      </c>
      <c r="F4" s="6" t="s">
        <v>7</v>
      </c>
      <c r="G4" s="7"/>
      <c r="H4" s="7"/>
      <c r="I4" s="7"/>
      <c r="J4" s="7"/>
      <c r="K4" s="7"/>
      <c r="L4" s="7"/>
      <c r="M4" s="7"/>
      <c r="N4" s="7"/>
      <c r="O4" s="7"/>
    </row>
    <row r="6" spans="1:15" ht="22.05" customHeight="1">
      <c r="A6" s="71" t="s">
        <v>8</v>
      </c>
      <c r="B6" s="72"/>
      <c r="C6" s="72"/>
      <c r="D6" s="72"/>
      <c r="E6" s="72"/>
      <c r="F6" s="72"/>
      <c r="G6" s="72"/>
      <c r="H6" s="72"/>
      <c r="I6" s="72"/>
      <c r="J6" s="73"/>
    </row>
    <row r="7" spans="1:15">
      <c r="A7" s="8" t="s">
        <v>9</v>
      </c>
      <c r="B7" s="8" t="s">
        <v>10</v>
      </c>
      <c r="D7" s="8" t="s">
        <v>11</v>
      </c>
      <c r="E7" s="8" t="s">
        <v>10</v>
      </c>
      <c r="G7" s="74" t="s">
        <v>12</v>
      </c>
      <c r="H7" s="75"/>
      <c r="I7" s="75"/>
      <c r="J7" s="76"/>
    </row>
    <row r="8" spans="1:15" ht="22.8">
      <c r="A8" s="9" t="s">
        <v>13</v>
      </c>
      <c r="B8" s="10" t="s">
        <v>14</v>
      </c>
      <c r="D8" s="9" t="s">
        <v>15</v>
      </c>
      <c r="E8" s="10" t="s">
        <v>16</v>
      </c>
      <c r="G8" s="77"/>
      <c r="H8" s="78"/>
      <c r="I8" s="78"/>
      <c r="J8" s="79"/>
    </row>
    <row r="9" spans="1:15" ht="22.8">
      <c r="A9" s="9" t="s">
        <v>17</v>
      </c>
      <c r="B9" s="10" t="s">
        <v>18</v>
      </c>
      <c r="D9" s="9" t="s">
        <v>19</v>
      </c>
      <c r="E9" s="10" t="s">
        <v>20</v>
      </c>
      <c r="G9" s="77"/>
      <c r="H9" s="78"/>
      <c r="I9" s="78"/>
      <c r="J9" s="79"/>
    </row>
    <row r="10" spans="1:15" ht="22.8">
      <c r="A10" s="9" t="s">
        <v>21</v>
      </c>
      <c r="B10" s="10" t="s">
        <v>22</v>
      </c>
      <c r="D10" s="9" t="s">
        <v>23</v>
      </c>
      <c r="E10" s="10" t="s">
        <v>24</v>
      </c>
      <c r="G10" s="77"/>
      <c r="H10" s="78"/>
      <c r="I10" s="78"/>
      <c r="J10" s="79"/>
    </row>
    <row r="11" spans="1:15" ht="22.8">
      <c r="A11" s="9" t="s">
        <v>25</v>
      </c>
      <c r="B11" s="10" t="s">
        <v>26</v>
      </c>
      <c r="D11" s="9" t="s">
        <v>27</v>
      </c>
      <c r="E11" s="13">
        <v>46250</v>
      </c>
      <c r="G11" s="80"/>
      <c r="H11" s="81"/>
      <c r="I11" s="81"/>
      <c r="J11" s="82"/>
    </row>
    <row r="12" spans="1:15">
      <c r="A12" s="9" t="s">
        <v>28</v>
      </c>
      <c r="B12" s="11">
        <v>4.7</v>
      </c>
    </row>
    <row r="13" spans="1:15">
      <c r="A13" s="9" t="s">
        <v>29</v>
      </c>
      <c r="B13" s="11">
        <v>-74.099999999999994</v>
      </c>
    </row>
    <row r="14" spans="1:15">
      <c r="A14" s="9" t="s">
        <v>30</v>
      </c>
      <c r="B14" s="12">
        <v>2600</v>
      </c>
    </row>
    <row r="15" spans="1:15" ht="22.8">
      <c r="A15" s="9" t="s">
        <v>31</v>
      </c>
      <c r="B15" s="12">
        <v>1</v>
      </c>
    </row>
    <row r="16" spans="1:15" ht="22.8">
      <c r="A16" s="9" t="s">
        <v>32</v>
      </c>
      <c r="B16" s="12">
        <v>250</v>
      </c>
    </row>
    <row r="18" spans="1:15" ht="22.05" customHeight="1">
      <c r="A18" s="71" t="s">
        <v>33</v>
      </c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3"/>
    </row>
    <row r="19" spans="1:15">
      <c r="A19" s="8" t="s">
        <v>34</v>
      </c>
      <c r="B19" s="8" t="s">
        <v>35</v>
      </c>
      <c r="C19" s="8" t="s">
        <v>36</v>
      </c>
      <c r="D19" s="8" t="s">
        <v>37</v>
      </c>
      <c r="E19" s="8" t="s">
        <v>38</v>
      </c>
      <c r="F19" s="8" t="s">
        <v>39</v>
      </c>
      <c r="G19" s="8" t="s">
        <v>40</v>
      </c>
      <c r="H19" s="8" t="s">
        <v>41</v>
      </c>
      <c r="I19" s="8" t="s">
        <v>42</v>
      </c>
      <c r="J19" s="8" t="s">
        <v>43</v>
      </c>
      <c r="K19" s="8" t="s">
        <v>44</v>
      </c>
      <c r="L19" s="8" t="s">
        <v>45</v>
      </c>
      <c r="M19" s="8" t="s">
        <v>46</v>
      </c>
      <c r="N19" s="8" t="s">
        <v>47</v>
      </c>
      <c r="O19" s="8" t="s">
        <v>48</v>
      </c>
    </row>
    <row r="20" spans="1:15" ht="22.8">
      <c r="A20" s="10" t="s">
        <v>49</v>
      </c>
      <c r="B20" s="10" t="s">
        <v>50</v>
      </c>
      <c r="C20" s="10" t="s">
        <v>51</v>
      </c>
      <c r="D20" s="10" t="s">
        <v>52</v>
      </c>
      <c r="E20" s="11">
        <v>4.7</v>
      </c>
      <c r="F20" s="11">
        <v>-74.099999999999994</v>
      </c>
      <c r="G20" s="11">
        <v>2600</v>
      </c>
      <c r="H20" s="10" t="s">
        <v>53</v>
      </c>
      <c r="I20" s="10" t="s">
        <v>54</v>
      </c>
      <c r="J20" s="10" t="s">
        <v>55</v>
      </c>
      <c r="K20" s="10" t="s">
        <v>56</v>
      </c>
      <c r="L20" s="10" t="s">
        <v>57</v>
      </c>
      <c r="M20" s="10" t="s">
        <v>58</v>
      </c>
      <c r="N20" s="13">
        <v>46250</v>
      </c>
      <c r="O20" s="10" t="s">
        <v>59</v>
      </c>
    </row>
    <row r="21" spans="1:15">
      <c r="A21" s="10" t="s">
        <v>60</v>
      </c>
      <c r="B21" s="10" t="s">
        <v>61</v>
      </c>
      <c r="C21" s="10" t="s">
        <v>62</v>
      </c>
      <c r="D21" s="10"/>
      <c r="E21" s="11"/>
      <c r="F21" s="11"/>
      <c r="G21" s="11"/>
      <c r="H21" s="10"/>
      <c r="I21" s="10"/>
      <c r="J21" s="10" t="s">
        <v>55</v>
      </c>
      <c r="K21" s="10" t="s">
        <v>56</v>
      </c>
      <c r="L21" s="10"/>
      <c r="M21" s="10"/>
      <c r="N21" s="13"/>
      <c r="O21" s="10" t="s">
        <v>63</v>
      </c>
    </row>
    <row r="22" spans="1:15">
      <c r="A22" s="10" t="s">
        <v>64</v>
      </c>
      <c r="B22" s="10"/>
      <c r="C22" s="10"/>
      <c r="D22" s="10"/>
      <c r="E22" s="11"/>
      <c r="F22" s="11"/>
      <c r="G22" s="11"/>
      <c r="H22" s="10"/>
      <c r="I22" s="10"/>
      <c r="J22" s="10"/>
      <c r="K22" s="10"/>
      <c r="L22" s="10"/>
      <c r="M22" s="10"/>
      <c r="N22" s="13"/>
      <c r="O22" s="10"/>
    </row>
    <row r="23" spans="1:15">
      <c r="A23" s="10" t="s">
        <v>65</v>
      </c>
      <c r="B23" s="10"/>
      <c r="C23" s="10"/>
      <c r="D23" s="10"/>
      <c r="E23" s="11"/>
      <c r="F23" s="11"/>
      <c r="G23" s="11"/>
      <c r="H23" s="10"/>
      <c r="I23" s="10"/>
      <c r="J23" s="10"/>
      <c r="K23" s="10"/>
      <c r="L23" s="10"/>
      <c r="M23" s="10"/>
      <c r="N23" s="13"/>
      <c r="O23" s="10"/>
    </row>
    <row r="26" spans="1:15" ht="22.05" customHeight="1">
      <c r="A26" s="71" t="s">
        <v>66</v>
      </c>
      <c r="B26" s="72"/>
      <c r="C26" s="72"/>
      <c r="D26" s="72"/>
      <c r="E26" s="72"/>
      <c r="F26" s="72"/>
      <c r="G26" s="73"/>
      <c r="I26" s="71" t="s">
        <v>67</v>
      </c>
      <c r="J26" s="72"/>
      <c r="K26" s="72"/>
      <c r="L26" s="72"/>
      <c r="M26" s="72"/>
      <c r="N26" s="72"/>
      <c r="O26" s="73"/>
    </row>
    <row r="27" spans="1:15">
      <c r="A27" s="8" t="s">
        <v>43</v>
      </c>
      <c r="B27" s="8" t="s">
        <v>68</v>
      </c>
      <c r="C27" s="8" t="s">
        <v>69</v>
      </c>
      <c r="D27" s="8" t="s">
        <v>70</v>
      </c>
      <c r="E27" s="8" t="s">
        <v>71</v>
      </c>
      <c r="F27" s="8" t="s">
        <v>72</v>
      </c>
      <c r="G27" s="8" t="s">
        <v>73</v>
      </c>
      <c r="I27" s="8" t="s">
        <v>74</v>
      </c>
      <c r="J27" s="8" t="s">
        <v>75</v>
      </c>
      <c r="K27" s="8" t="s">
        <v>68</v>
      </c>
      <c r="L27" s="8" t="s">
        <v>76</v>
      </c>
      <c r="M27" s="8" t="s">
        <v>77</v>
      </c>
      <c r="N27" s="8" t="s">
        <v>78</v>
      </c>
      <c r="O27" s="8" t="s">
        <v>79</v>
      </c>
    </row>
    <row r="28" spans="1:15" ht="57">
      <c r="A28" s="9" t="s">
        <v>74</v>
      </c>
      <c r="B28" s="9" t="s">
        <v>80</v>
      </c>
      <c r="C28" s="9" t="s">
        <v>81</v>
      </c>
      <c r="D28" s="9" t="s">
        <v>74</v>
      </c>
      <c r="E28" s="9" t="s">
        <v>82</v>
      </c>
      <c r="F28" s="9" t="s">
        <v>83</v>
      </c>
      <c r="G28" s="9" t="s">
        <v>84</v>
      </c>
      <c r="I28" s="13">
        <v>46250</v>
      </c>
      <c r="J28" s="10" t="s">
        <v>24</v>
      </c>
      <c r="K28" s="10" t="s">
        <v>85</v>
      </c>
      <c r="L28" s="10" t="s">
        <v>86</v>
      </c>
      <c r="M28" s="14">
        <v>552</v>
      </c>
      <c r="N28" s="10" t="s">
        <v>87</v>
      </c>
      <c r="O28" s="10" t="s">
        <v>88</v>
      </c>
    </row>
    <row r="29" spans="1:15" ht="22.8">
      <c r="A29" s="9" t="s">
        <v>89</v>
      </c>
      <c r="B29" s="9" t="s">
        <v>80</v>
      </c>
      <c r="C29" s="9" t="s">
        <v>90</v>
      </c>
      <c r="D29" s="9" t="s">
        <v>91</v>
      </c>
      <c r="E29" s="9" t="s">
        <v>56</v>
      </c>
      <c r="F29" s="9" t="s">
        <v>92</v>
      </c>
      <c r="G29" s="9" t="s">
        <v>84</v>
      </c>
      <c r="I29" s="13"/>
      <c r="J29" s="10"/>
      <c r="K29" s="10"/>
      <c r="L29" s="10"/>
      <c r="M29" s="14"/>
      <c r="N29" s="10"/>
      <c r="O29" s="10"/>
    </row>
    <row r="30" spans="1:15" ht="22.8">
      <c r="A30" s="9" t="s">
        <v>93</v>
      </c>
      <c r="B30" s="9" t="s">
        <v>80</v>
      </c>
      <c r="C30" s="9" t="s">
        <v>94</v>
      </c>
      <c r="D30" s="9" t="s">
        <v>95</v>
      </c>
      <c r="E30" s="9" t="s">
        <v>96</v>
      </c>
      <c r="F30" s="9" t="s">
        <v>97</v>
      </c>
      <c r="G30" s="9" t="s">
        <v>84</v>
      </c>
      <c r="I30" s="13"/>
      <c r="J30" s="10"/>
      <c r="K30" s="10"/>
      <c r="L30" s="10"/>
      <c r="M30" s="14"/>
      <c r="N30" s="10"/>
      <c r="O30" s="10"/>
    </row>
    <row r="31" spans="1:15" ht="22.8">
      <c r="A31" s="9" t="s">
        <v>98</v>
      </c>
      <c r="B31" s="9" t="s">
        <v>99</v>
      </c>
      <c r="C31" s="9" t="s">
        <v>100</v>
      </c>
      <c r="D31" s="9" t="s">
        <v>95</v>
      </c>
      <c r="E31" s="9" t="s">
        <v>101</v>
      </c>
      <c r="F31" s="9" t="s">
        <v>102</v>
      </c>
      <c r="G31" s="9" t="s">
        <v>84</v>
      </c>
      <c r="I31" s="13"/>
      <c r="J31" s="10"/>
      <c r="K31" s="10"/>
      <c r="L31" s="10"/>
      <c r="M31" s="14"/>
      <c r="N31" s="10"/>
      <c r="O31" s="10"/>
    </row>
    <row r="32" spans="1:15" ht="22.8">
      <c r="A32" s="9" t="s">
        <v>103</v>
      </c>
      <c r="B32" s="9" t="s">
        <v>99</v>
      </c>
      <c r="C32" s="9" t="s">
        <v>104</v>
      </c>
      <c r="D32" s="9" t="s">
        <v>95</v>
      </c>
      <c r="E32" s="9" t="s">
        <v>105</v>
      </c>
      <c r="F32" s="9" t="s">
        <v>106</v>
      </c>
      <c r="G32" s="9" t="s">
        <v>84</v>
      </c>
      <c r="I32" s="13"/>
      <c r="J32" s="10"/>
      <c r="K32" s="10"/>
      <c r="L32" s="10"/>
      <c r="M32" s="14"/>
      <c r="N32" s="10"/>
      <c r="O32" s="10"/>
    </row>
    <row r="33" spans="1:15" ht="34.200000000000003">
      <c r="A33" s="9" t="s">
        <v>107</v>
      </c>
      <c r="B33" s="9" t="s">
        <v>99</v>
      </c>
      <c r="C33" s="9" t="s">
        <v>108</v>
      </c>
      <c r="D33" s="9" t="s">
        <v>91</v>
      </c>
      <c r="E33" s="9" t="s">
        <v>56</v>
      </c>
      <c r="F33" s="9" t="s">
        <v>109</v>
      </c>
      <c r="G33" s="9" t="s">
        <v>84</v>
      </c>
      <c r="I33" s="13"/>
      <c r="J33" s="10"/>
      <c r="K33" s="10"/>
      <c r="L33" s="10"/>
      <c r="M33" s="14"/>
      <c r="N33" s="10"/>
      <c r="O33" s="10"/>
    </row>
    <row r="34" spans="1:15" ht="22.8">
      <c r="A34" s="9" t="s">
        <v>110</v>
      </c>
      <c r="B34" s="9" t="s">
        <v>99</v>
      </c>
      <c r="C34" s="9" t="s">
        <v>111</v>
      </c>
      <c r="D34" s="9" t="s">
        <v>4</v>
      </c>
      <c r="E34" s="9" t="s">
        <v>56</v>
      </c>
      <c r="F34" s="9" t="s">
        <v>112</v>
      </c>
      <c r="G34" s="9" t="s">
        <v>113</v>
      </c>
      <c r="I34" s="13"/>
      <c r="J34" s="10"/>
      <c r="K34" s="10"/>
      <c r="L34" s="10"/>
      <c r="M34" s="14"/>
      <c r="N34" s="10"/>
      <c r="O34" s="10"/>
    </row>
    <row r="35" spans="1:15" ht="22.8">
      <c r="A35" s="9" t="s">
        <v>114</v>
      </c>
      <c r="B35" s="9" t="s">
        <v>99</v>
      </c>
      <c r="C35" s="9" t="s">
        <v>115</v>
      </c>
      <c r="D35" s="9" t="s">
        <v>4</v>
      </c>
      <c r="E35" s="9" t="s">
        <v>116</v>
      </c>
      <c r="F35" s="9" t="s">
        <v>117</v>
      </c>
      <c r="G35" s="9" t="s">
        <v>113</v>
      </c>
      <c r="I35" s="13"/>
      <c r="J35" s="10"/>
      <c r="K35" s="10"/>
      <c r="L35" s="10"/>
      <c r="M35" s="14"/>
      <c r="N35" s="10"/>
      <c r="O35" s="10"/>
    </row>
    <row r="38" spans="1:15">
      <c r="A38" s="74" t="s">
        <v>118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6"/>
    </row>
    <row r="39" spans="1:15">
      <c r="A39" s="77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9"/>
    </row>
    <row r="40" spans="1:15">
      <c r="A40" s="80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2"/>
    </row>
  </sheetData>
  <mergeCells count="8">
    <mergeCell ref="A26:G26"/>
    <mergeCell ref="I26:O26"/>
    <mergeCell ref="A38:O40"/>
    <mergeCell ref="A1:O1"/>
    <mergeCell ref="A2:O3"/>
    <mergeCell ref="A6:J6"/>
    <mergeCell ref="G7:J11"/>
    <mergeCell ref="A18:O18"/>
  </mergeCells>
  <dataValidations count="3">
    <dataValidation type="list" sqref="B20:B23" xr:uid="{00000000-0002-0000-0000-000000000000}">
      <formula1>"Estación meteorológica,Producto satelital,Reanálisis,Producto en malla,Fuente oficial,Ejemplo didáctico"</formula1>
    </dataValidation>
    <dataValidation type="list" sqref="I20:I23" xr:uid="{00000000-0002-0000-0000-000001000000}">
      <formula1>"Diaria,Mensual,Anual"</formula1>
    </dataValidation>
    <dataValidation type="list" sqref="K20:K23" xr:uid="{00000000-0002-0000-0000-000002000000}">
      <formula1>"mm,cm,m"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79"/>
  <sheetViews>
    <sheetView showGridLines="0" workbookViewId="0">
      <selection activeCell="E10" sqref="E10"/>
    </sheetView>
  </sheetViews>
  <sheetFormatPr baseColWidth="10" defaultColWidth="8.796875" defaultRowHeight="13.8"/>
  <cols>
    <col min="1" max="1" width="13" customWidth="1"/>
    <col min="2" max="3" width="9" customWidth="1"/>
    <col min="4" max="4" width="13" customWidth="1"/>
    <col min="5" max="5" width="23" customWidth="1"/>
    <col min="6" max="6" width="12" customWidth="1"/>
    <col min="7" max="7" width="15" customWidth="1"/>
    <col min="8" max="8" width="10" customWidth="1"/>
    <col min="9" max="9" width="18" customWidth="1"/>
    <col min="10" max="10" width="25" customWidth="1"/>
    <col min="11" max="11" width="27" customWidth="1"/>
    <col min="12" max="12" width="14" customWidth="1"/>
    <col min="13" max="13" width="3" customWidth="1"/>
    <col min="14" max="14" width="10" customWidth="1"/>
    <col min="15" max="15" width="20" customWidth="1"/>
    <col min="16" max="16" width="15" customWidth="1"/>
    <col min="17" max="17" width="14" customWidth="1"/>
    <col min="18" max="18" width="3" customWidth="1"/>
    <col min="19" max="25" width="12" customWidth="1"/>
  </cols>
  <sheetData>
    <row r="1" spans="1:25" ht="30" customHeight="1">
      <c r="A1" s="83" t="s">
        <v>119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5"/>
    </row>
    <row r="2" spans="1:25">
      <c r="A2" s="86" t="s">
        <v>120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8"/>
    </row>
    <row r="3" spans="1:25">
      <c r="A3" s="89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1"/>
    </row>
    <row r="4" spans="1:25" ht="14.4">
      <c r="A4" s="1" t="s">
        <v>2</v>
      </c>
      <c r="B4" s="2" t="s">
        <v>3</v>
      </c>
      <c r="C4" s="3" t="s">
        <v>4</v>
      </c>
      <c r="D4" s="4" t="s">
        <v>5</v>
      </c>
      <c r="E4" s="5" t="s">
        <v>6</v>
      </c>
      <c r="F4" s="6" t="s">
        <v>7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6" spans="1:25" ht="22.05" customHeight="1">
      <c r="A6" s="71" t="s">
        <v>121</v>
      </c>
      <c r="B6" s="72"/>
      <c r="C6" s="72"/>
      <c r="D6" s="72"/>
      <c r="E6" s="72"/>
      <c r="F6" s="72"/>
      <c r="G6" s="72"/>
      <c r="H6" s="72"/>
      <c r="I6" s="72"/>
      <c r="J6" s="72"/>
      <c r="K6" s="72"/>
      <c r="L6" s="73"/>
      <c r="N6" s="71" t="s">
        <v>122</v>
      </c>
      <c r="O6" s="72"/>
      <c r="P6" s="72"/>
      <c r="Q6" s="73"/>
    </row>
    <row r="7" spans="1:25">
      <c r="A7" s="8" t="s">
        <v>123</v>
      </c>
      <c r="B7" s="8" t="s">
        <v>124</v>
      </c>
      <c r="C7" s="8" t="s">
        <v>123</v>
      </c>
      <c r="D7" s="8" t="s">
        <v>124</v>
      </c>
      <c r="E7" s="8" t="s">
        <v>123</v>
      </c>
      <c r="F7" s="8" t="s">
        <v>124</v>
      </c>
      <c r="G7" s="8" t="s">
        <v>123</v>
      </c>
      <c r="H7" s="8" t="s">
        <v>124</v>
      </c>
      <c r="I7" s="8" t="s">
        <v>123</v>
      </c>
      <c r="J7" s="8" t="s">
        <v>124</v>
      </c>
      <c r="K7" s="8" t="s">
        <v>123</v>
      </c>
      <c r="L7" s="8" t="s">
        <v>124</v>
      </c>
      <c r="N7" s="8" t="s">
        <v>125</v>
      </c>
      <c r="O7" s="8" t="s">
        <v>126</v>
      </c>
      <c r="P7" s="8" t="s">
        <v>127</v>
      </c>
      <c r="Q7" s="8" t="s">
        <v>77</v>
      </c>
    </row>
    <row r="8" spans="1:25" ht="22.8">
      <c r="A8" s="9" t="s">
        <v>128</v>
      </c>
      <c r="B8" s="16">
        <f>MIN(A20:A379)</f>
        <v>29587</v>
      </c>
      <c r="C8" s="16" t="s">
        <v>129</v>
      </c>
      <c r="D8" s="16">
        <f>MAX(A20:A379)</f>
        <v>40513</v>
      </c>
      <c r="E8" s="15" t="s">
        <v>130</v>
      </c>
      <c r="F8" s="15">
        <v>360</v>
      </c>
      <c r="G8" s="15" t="s">
        <v>131</v>
      </c>
      <c r="H8" s="15">
        <f>COUNT(G20:G379)</f>
        <v>360</v>
      </c>
      <c r="I8" s="15" t="s">
        <v>132</v>
      </c>
      <c r="J8" s="17">
        <f>COUNTBLANK(G20:G379)/F8</f>
        <v>0</v>
      </c>
      <c r="K8" s="15" t="s">
        <v>133</v>
      </c>
      <c r="L8" s="15" t="str">
        <f>IF(AND(B9=0,D9=0,F9=0,J8=0),"APTA PARA ANÁLISIS","REVISAR ANTES DE USAR")</f>
        <v>APTA PARA ANÁLISIS</v>
      </c>
      <c r="N8" s="9">
        <v>1</v>
      </c>
      <c r="O8" s="9" t="s">
        <v>134</v>
      </c>
      <c r="P8" s="18">
        <f t="shared" ref="P8:P19" si="0">AVERAGEIF($C$20:$C$379,N8,$G$20:$G$379)</f>
        <v>64.923333333333346</v>
      </c>
      <c r="Q8" s="15">
        <f t="shared" ref="Q8:Q19" si="1">COUNTIF($C$20:$C$379,N8)</f>
        <v>30</v>
      </c>
    </row>
    <row r="9" spans="1:25" ht="34.200000000000003">
      <c r="A9" s="9" t="s">
        <v>135</v>
      </c>
      <c r="B9" s="15">
        <f>COUNTIF(G20:G379,"&lt;0")</f>
        <v>0</v>
      </c>
      <c r="C9" s="15" t="s">
        <v>136</v>
      </c>
      <c r="D9" s="15">
        <f>COUNTIF(H20:H379,"&lt;&gt;mm")</f>
        <v>0</v>
      </c>
      <c r="E9" s="15" t="s">
        <v>137</v>
      </c>
      <c r="F9" s="15">
        <f>COUNTIF(L20:L379,"DUPLICADO")</f>
        <v>0</v>
      </c>
      <c r="G9" s="15" t="s">
        <v>138</v>
      </c>
      <c r="H9" s="18">
        <f>AVERAGE(G20:G379)</f>
        <v>105.81444444444439</v>
      </c>
      <c r="I9" s="18" t="s">
        <v>139</v>
      </c>
      <c r="J9" s="18">
        <f>MIN(G20:G379)</f>
        <v>56.3</v>
      </c>
      <c r="K9" s="18" t="s">
        <v>140</v>
      </c>
      <c r="L9" s="18">
        <f>MAX(G20:G379)</f>
        <v>182.3</v>
      </c>
      <c r="N9" s="9">
        <v>2</v>
      </c>
      <c r="O9" s="9" t="s">
        <v>141</v>
      </c>
      <c r="P9" s="18">
        <f t="shared" si="0"/>
        <v>75.066666666666677</v>
      </c>
      <c r="Q9" s="15">
        <f t="shared" si="1"/>
        <v>30</v>
      </c>
    </row>
    <row r="10" spans="1:25" ht="34.200000000000003">
      <c r="A10" s="9" t="s">
        <v>142</v>
      </c>
      <c r="B10" s="15">
        <f>COUNTIF(P24:P53,12)</f>
        <v>30</v>
      </c>
      <c r="C10" s="15" t="s">
        <v>143</v>
      </c>
      <c r="D10" s="15">
        <v>30</v>
      </c>
      <c r="E10" s="15" t="s">
        <v>144</v>
      </c>
      <c r="F10" s="15">
        <f>COUNTIF(G20:G379,0)</f>
        <v>0</v>
      </c>
      <c r="G10" s="15" t="s">
        <v>145</v>
      </c>
      <c r="H10" s="15" t="str">
        <f>'Hoja 1 - Área y fuentes'!C20</f>
        <v>Serie sintética de capacitación</v>
      </c>
      <c r="I10" s="15" t="s">
        <v>146</v>
      </c>
      <c r="J10" s="15" t="s">
        <v>53</v>
      </c>
      <c r="K10" s="15" t="s">
        <v>147</v>
      </c>
      <c r="L10" s="15" t="s">
        <v>50</v>
      </c>
      <c r="N10" s="9">
        <v>3</v>
      </c>
      <c r="O10" s="9" t="s">
        <v>148</v>
      </c>
      <c r="P10" s="18">
        <f t="shared" si="0"/>
        <v>110.1</v>
      </c>
      <c r="Q10" s="15">
        <f t="shared" si="1"/>
        <v>30</v>
      </c>
    </row>
    <row r="11" spans="1:25">
      <c r="N11" s="9">
        <v>4</v>
      </c>
      <c r="O11" s="9" t="s">
        <v>149</v>
      </c>
      <c r="P11" s="18">
        <f t="shared" si="0"/>
        <v>154.96999999999991</v>
      </c>
      <c r="Q11" s="15">
        <f t="shared" si="1"/>
        <v>30</v>
      </c>
    </row>
    <row r="12" spans="1:25">
      <c r="A12" s="74" t="s">
        <v>150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6"/>
      <c r="N12" s="9">
        <v>5</v>
      </c>
      <c r="O12" s="9" t="s">
        <v>151</v>
      </c>
      <c r="P12" s="18">
        <f t="shared" si="0"/>
        <v>139.87333333333333</v>
      </c>
      <c r="Q12" s="15">
        <f t="shared" si="1"/>
        <v>30</v>
      </c>
    </row>
    <row r="13" spans="1:25">
      <c r="A13" s="77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9"/>
      <c r="N13" s="9">
        <v>6</v>
      </c>
      <c r="O13" s="9" t="s">
        <v>152</v>
      </c>
      <c r="P13" s="18">
        <f t="shared" si="0"/>
        <v>84.956666666666663</v>
      </c>
      <c r="Q13" s="15">
        <f t="shared" si="1"/>
        <v>30</v>
      </c>
    </row>
    <row r="14" spans="1:25">
      <c r="A14" s="80"/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2"/>
      <c r="N14" s="9">
        <v>7</v>
      </c>
      <c r="O14" s="9" t="s">
        <v>153</v>
      </c>
      <c r="P14" s="18">
        <f t="shared" si="0"/>
        <v>70.029999999999987</v>
      </c>
      <c r="Q14" s="15">
        <f t="shared" si="1"/>
        <v>30</v>
      </c>
    </row>
    <row r="15" spans="1:25">
      <c r="N15" s="9">
        <v>8</v>
      </c>
      <c r="O15" s="9" t="s">
        <v>154</v>
      </c>
      <c r="P15" s="18">
        <f t="shared" si="0"/>
        <v>75.036666666666662</v>
      </c>
      <c r="Q15" s="15">
        <f t="shared" si="1"/>
        <v>30</v>
      </c>
    </row>
    <row r="16" spans="1:25">
      <c r="N16" s="9">
        <v>9</v>
      </c>
      <c r="O16" s="9" t="s">
        <v>155</v>
      </c>
      <c r="P16" s="18">
        <f t="shared" si="0"/>
        <v>119.9666666666667</v>
      </c>
      <c r="Q16" s="15">
        <f t="shared" si="1"/>
        <v>30</v>
      </c>
    </row>
    <row r="17" spans="1:17" ht="22.05" customHeight="1">
      <c r="A17" s="71" t="s">
        <v>156</v>
      </c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3"/>
      <c r="N17" s="9">
        <v>10</v>
      </c>
      <c r="O17" s="9" t="s">
        <v>157</v>
      </c>
      <c r="P17" s="18">
        <f t="shared" si="0"/>
        <v>159.85333333333332</v>
      </c>
      <c r="Q17" s="15">
        <f t="shared" si="1"/>
        <v>30</v>
      </c>
    </row>
    <row r="18" spans="1:17">
      <c r="N18" s="9">
        <v>11</v>
      </c>
      <c r="O18" s="9" t="s">
        <v>158</v>
      </c>
      <c r="P18" s="18">
        <f t="shared" si="0"/>
        <v>134.94666666666666</v>
      </c>
      <c r="Q18" s="15">
        <f t="shared" si="1"/>
        <v>30</v>
      </c>
    </row>
    <row r="19" spans="1:17">
      <c r="A19" s="8" t="s">
        <v>74</v>
      </c>
      <c r="B19" s="8" t="s">
        <v>159</v>
      </c>
      <c r="C19" s="8" t="s">
        <v>125</v>
      </c>
      <c r="D19" s="8" t="s">
        <v>126</v>
      </c>
      <c r="E19" s="8" t="s">
        <v>36</v>
      </c>
      <c r="F19" s="8" t="s">
        <v>37</v>
      </c>
      <c r="G19" s="8" t="s">
        <v>160</v>
      </c>
      <c r="H19" s="8" t="s">
        <v>44</v>
      </c>
      <c r="I19" s="8" t="s">
        <v>93</v>
      </c>
      <c r="J19" s="8" t="s">
        <v>161</v>
      </c>
      <c r="K19" s="8" t="s">
        <v>162</v>
      </c>
      <c r="L19" s="8" t="s">
        <v>163</v>
      </c>
      <c r="N19" s="9">
        <v>12</v>
      </c>
      <c r="O19" s="9" t="s">
        <v>164</v>
      </c>
      <c r="P19" s="18">
        <f t="shared" si="0"/>
        <v>80.049999999999983</v>
      </c>
      <c r="Q19" s="15">
        <f t="shared" si="1"/>
        <v>30</v>
      </c>
    </row>
    <row r="20" spans="1:17" ht="22.8">
      <c r="A20" s="13">
        <v>29587</v>
      </c>
      <c r="B20" s="15">
        <v>1981</v>
      </c>
      <c r="C20" s="15">
        <v>1</v>
      </c>
      <c r="D20" s="15" t="s">
        <v>134</v>
      </c>
      <c r="E20" s="15" t="str">
        <f>'Hoja 1 - Área y fuentes'!C20</f>
        <v>Serie sintética de capacitación</v>
      </c>
      <c r="F20" s="15" t="str">
        <f>'Hoja 1 - Área y fuentes'!D20</f>
        <v>DID-001</v>
      </c>
      <c r="G20" s="12">
        <v>67.2</v>
      </c>
      <c r="H20" s="10" t="s">
        <v>56</v>
      </c>
      <c r="I20" s="10" t="s">
        <v>50</v>
      </c>
      <c r="J20" s="15" t="str">
        <f>'Hoja 1 - Área y fuentes'!M20</f>
        <v>Sustituir por IDEAM u otra fuente oficial</v>
      </c>
      <c r="K20" s="10" t="s">
        <v>165</v>
      </c>
      <c r="L20" s="15" t="str">
        <f>IF(G20="","FALTANTE",IF(G20&lt;0,"NEGATIVO",IF(H20&lt;&gt;"mm","UNIDAD",IF(COUNTIF($A$20:A20,A20)&gt;1,"DUPLICADO","OK"))))</f>
        <v>OK</v>
      </c>
    </row>
    <row r="21" spans="1:17" ht="22.8">
      <c r="A21" s="13">
        <v>29618</v>
      </c>
      <c r="B21" s="15">
        <v>1981</v>
      </c>
      <c r="C21" s="15">
        <v>2</v>
      </c>
      <c r="D21" s="15" t="s">
        <v>141</v>
      </c>
      <c r="E21" s="15" t="str">
        <f>'Hoja 1 - Área y fuentes'!C20</f>
        <v>Serie sintética de capacitación</v>
      </c>
      <c r="F21" s="15" t="str">
        <f>'Hoja 1 - Área y fuentes'!D20</f>
        <v>DID-001</v>
      </c>
      <c r="G21" s="12">
        <v>76.5</v>
      </c>
      <c r="H21" s="10" t="s">
        <v>56</v>
      </c>
      <c r="I21" s="10" t="s">
        <v>50</v>
      </c>
      <c r="J21" s="15" t="str">
        <f>'Hoja 1 - Área y fuentes'!M20</f>
        <v>Sustituir por IDEAM u otra fuente oficial</v>
      </c>
      <c r="K21" s="10" t="s">
        <v>165</v>
      </c>
      <c r="L21" s="15" t="str">
        <f>IF(G21="","FALTANTE",IF(G21&lt;0,"NEGATIVO",IF(H21&lt;&gt;"mm","UNIDAD",IF(COUNTIF($A$20:A21,A21)&gt;1,"DUPLICADO","OK"))))</f>
        <v>OK</v>
      </c>
    </row>
    <row r="22" spans="1:17" ht="22.05" customHeight="1">
      <c r="A22" s="13">
        <v>29646</v>
      </c>
      <c r="B22" s="15">
        <v>1981</v>
      </c>
      <c r="C22" s="15">
        <v>3</v>
      </c>
      <c r="D22" s="15" t="s">
        <v>148</v>
      </c>
      <c r="E22" s="15" t="str">
        <f>'Hoja 1 - Área y fuentes'!C20</f>
        <v>Serie sintética de capacitación</v>
      </c>
      <c r="F22" s="15" t="str">
        <f>'Hoja 1 - Área y fuentes'!D20</f>
        <v>DID-001</v>
      </c>
      <c r="G22" s="12">
        <v>110.4</v>
      </c>
      <c r="H22" s="10" t="s">
        <v>56</v>
      </c>
      <c r="I22" s="10" t="s">
        <v>50</v>
      </c>
      <c r="J22" s="15" t="str">
        <f>'Hoja 1 - Área y fuentes'!M20</f>
        <v>Sustituir por IDEAM u otra fuente oficial</v>
      </c>
      <c r="K22" s="10" t="s">
        <v>165</v>
      </c>
      <c r="L22" s="15" t="str">
        <f>IF(G22="","FALTANTE",IF(G22&lt;0,"NEGATIVO",IF(H22&lt;&gt;"mm","UNIDAD",IF(COUNTIF($A$20:A22,A22)&gt;1,"DUPLICADO","OK"))))</f>
        <v>OK</v>
      </c>
      <c r="N22" s="71" t="s">
        <v>166</v>
      </c>
      <c r="O22" s="72"/>
      <c r="P22" s="72"/>
      <c r="Q22" s="73"/>
    </row>
    <row r="23" spans="1:17" ht="22.8">
      <c r="A23" s="13">
        <v>29677</v>
      </c>
      <c r="B23" s="15">
        <v>1981</v>
      </c>
      <c r="C23" s="15">
        <v>4</v>
      </c>
      <c r="D23" s="15" t="s">
        <v>149</v>
      </c>
      <c r="E23" s="15" t="str">
        <f>'Hoja 1 - Área y fuentes'!C20</f>
        <v>Serie sintética de capacitación</v>
      </c>
      <c r="F23" s="15" t="str">
        <f>'Hoja 1 - Área y fuentes'!D20</f>
        <v>DID-001</v>
      </c>
      <c r="G23" s="12">
        <v>153.1</v>
      </c>
      <c r="H23" s="10" t="s">
        <v>56</v>
      </c>
      <c r="I23" s="10" t="s">
        <v>50</v>
      </c>
      <c r="J23" s="15" t="str">
        <f>'Hoja 1 - Área y fuentes'!M20</f>
        <v>Sustituir por IDEAM u otra fuente oficial</v>
      </c>
      <c r="K23" s="10" t="s">
        <v>165</v>
      </c>
      <c r="L23" s="15" t="str">
        <f>IF(G23="","FALTANTE",IF(G23&lt;0,"NEGATIVO",IF(H23&lt;&gt;"mm","UNIDAD",IF(COUNTIF($A$20:A23,A23)&gt;1,"DUPLICADO","OK"))))</f>
        <v>OK</v>
      </c>
      <c r="N23" s="8" t="s">
        <v>159</v>
      </c>
      <c r="O23" s="8" t="s">
        <v>167</v>
      </c>
      <c r="P23" s="8" t="s">
        <v>168</v>
      </c>
      <c r="Q23" s="8" t="s">
        <v>163</v>
      </c>
    </row>
    <row r="24" spans="1:17" ht="22.8">
      <c r="A24" s="13">
        <v>29707</v>
      </c>
      <c r="B24" s="15">
        <v>1981</v>
      </c>
      <c r="C24" s="15">
        <v>5</v>
      </c>
      <c r="D24" s="15" t="s">
        <v>151</v>
      </c>
      <c r="E24" s="15" t="str">
        <f>'Hoja 1 - Área y fuentes'!C20</f>
        <v>Serie sintética de capacitación</v>
      </c>
      <c r="F24" s="15" t="str">
        <f>'Hoja 1 - Área y fuentes'!D20</f>
        <v>DID-001</v>
      </c>
      <c r="G24" s="12">
        <v>136.19999999999999</v>
      </c>
      <c r="H24" s="10" t="s">
        <v>56</v>
      </c>
      <c r="I24" s="10" t="s">
        <v>50</v>
      </c>
      <c r="J24" s="15" t="str">
        <f>'Hoja 1 - Área y fuentes'!M20</f>
        <v>Sustituir por IDEAM u otra fuente oficial</v>
      </c>
      <c r="K24" s="10" t="s">
        <v>165</v>
      </c>
      <c r="L24" s="15" t="str">
        <f>IF(G24="","FALTANTE",IF(G24&lt;0,"NEGATIVO",IF(H24&lt;&gt;"mm","UNIDAD",IF(COUNTIF($A$20:A24,A24)&gt;1,"DUPLICADO","OK"))))</f>
        <v>OK</v>
      </c>
      <c r="N24" s="9">
        <v>1981</v>
      </c>
      <c r="O24" s="18">
        <f t="shared" ref="O24:O53" si="2">SUMIF($B$20:$B$379,N24,$G$20:$G$379)</f>
        <v>1248.6000000000001</v>
      </c>
      <c r="P24" s="15">
        <f t="shared" ref="P24:P53" si="3">COUNTIF($B$20:$B$379,N24)</f>
        <v>12</v>
      </c>
      <c r="Q24" s="15" t="str">
        <f t="shared" ref="Q24:Q53" si="4">IF(P24=12,"COMPLETO","REVISAR")</f>
        <v>COMPLETO</v>
      </c>
    </row>
    <row r="25" spans="1:17" ht="22.8">
      <c r="A25" s="13">
        <v>29738</v>
      </c>
      <c r="B25" s="15">
        <v>1981</v>
      </c>
      <c r="C25" s="15">
        <v>6</v>
      </c>
      <c r="D25" s="15" t="s">
        <v>152</v>
      </c>
      <c r="E25" s="15" t="str">
        <f>'Hoja 1 - Área y fuentes'!C20</f>
        <v>Serie sintética de capacitación</v>
      </c>
      <c r="F25" s="15" t="str">
        <f>'Hoja 1 - Área y fuentes'!D20</f>
        <v>DID-001</v>
      </c>
      <c r="G25" s="12">
        <v>81.7</v>
      </c>
      <c r="H25" s="10" t="s">
        <v>56</v>
      </c>
      <c r="I25" s="10" t="s">
        <v>50</v>
      </c>
      <c r="J25" s="15" t="str">
        <f>'Hoja 1 - Área y fuentes'!M20</f>
        <v>Sustituir por IDEAM u otra fuente oficial</v>
      </c>
      <c r="K25" s="10" t="s">
        <v>165</v>
      </c>
      <c r="L25" s="15" t="str">
        <f>IF(G25="","FALTANTE",IF(G25&lt;0,"NEGATIVO",IF(H25&lt;&gt;"mm","UNIDAD",IF(COUNTIF($A$20:A25,A25)&gt;1,"DUPLICADO","OK"))))</f>
        <v>OK</v>
      </c>
      <c r="N25" s="9">
        <v>1982</v>
      </c>
      <c r="O25" s="18">
        <f t="shared" si="2"/>
        <v>1390.3</v>
      </c>
      <c r="P25" s="15">
        <f t="shared" si="3"/>
        <v>12</v>
      </c>
      <c r="Q25" s="15" t="str">
        <f t="shared" si="4"/>
        <v>COMPLETO</v>
      </c>
    </row>
    <row r="26" spans="1:17" ht="22.8">
      <c r="A26" s="13">
        <v>29768</v>
      </c>
      <c r="B26" s="15">
        <v>1981</v>
      </c>
      <c r="C26" s="15">
        <v>7</v>
      </c>
      <c r="D26" s="15" t="s">
        <v>153</v>
      </c>
      <c r="E26" s="15" t="str">
        <f>'Hoja 1 - Área y fuentes'!C20</f>
        <v>Serie sintética de capacitación</v>
      </c>
      <c r="F26" s="15" t="str">
        <f>'Hoja 1 - Área y fuentes'!D20</f>
        <v>DID-001</v>
      </c>
      <c r="G26" s="12">
        <v>66.900000000000006</v>
      </c>
      <c r="H26" s="10" t="s">
        <v>56</v>
      </c>
      <c r="I26" s="10" t="s">
        <v>50</v>
      </c>
      <c r="J26" s="15" t="str">
        <f>'Hoja 1 - Área y fuentes'!M20</f>
        <v>Sustituir por IDEAM u otra fuente oficial</v>
      </c>
      <c r="K26" s="10" t="s">
        <v>165</v>
      </c>
      <c r="L26" s="15" t="str">
        <f>IF(G26="","FALTANTE",IF(G26&lt;0,"NEGATIVO",IF(H26&lt;&gt;"mm","UNIDAD",IF(COUNTIF($A$20:A26,A26)&gt;1,"DUPLICADO","OK"))))</f>
        <v>OK</v>
      </c>
      <c r="N26" s="9">
        <v>1983</v>
      </c>
      <c r="O26" s="18">
        <f t="shared" si="2"/>
        <v>1349.6</v>
      </c>
      <c r="P26" s="15">
        <f t="shared" si="3"/>
        <v>12</v>
      </c>
      <c r="Q26" s="15" t="str">
        <f t="shared" si="4"/>
        <v>COMPLETO</v>
      </c>
    </row>
    <row r="27" spans="1:17" ht="22.8">
      <c r="A27" s="13">
        <v>29799</v>
      </c>
      <c r="B27" s="15">
        <v>1981</v>
      </c>
      <c r="C27" s="15">
        <v>8</v>
      </c>
      <c r="D27" s="15" t="s">
        <v>154</v>
      </c>
      <c r="E27" s="15" t="str">
        <f>'Hoja 1 - Área y fuentes'!C20</f>
        <v>Serie sintética de capacitación</v>
      </c>
      <c r="F27" s="15" t="str">
        <f>'Hoja 1 - Área y fuentes'!D20</f>
        <v>DID-001</v>
      </c>
      <c r="G27" s="12">
        <v>71.7</v>
      </c>
      <c r="H27" s="10" t="s">
        <v>56</v>
      </c>
      <c r="I27" s="10" t="s">
        <v>50</v>
      </c>
      <c r="J27" s="15" t="str">
        <f>'Hoja 1 - Área y fuentes'!M20</f>
        <v>Sustituir por IDEAM u otra fuente oficial</v>
      </c>
      <c r="K27" s="10" t="s">
        <v>165</v>
      </c>
      <c r="L27" s="15" t="str">
        <f>IF(G27="","FALTANTE",IF(G27&lt;0,"NEGATIVO",IF(H27&lt;&gt;"mm","UNIDAD",IF(COUNTIF($A$20:A27,A27)&gt;1,"DUPLICADO","OK"))))</f>
        <v>OK</v>
      </c>
      <c r="N27" s="9">
        <v>1984</v>
      </c>
      <c r="O27" s="18">
        <f t="shared" si="2"/>
        <v>1168.8</v>
      </c>
      <c r="P27" s="15">
        <f t="shared" si="3"/>
        <v>12</v>
      </c>
      <c r="Q27" s="15" t="str">
        <f t="shared" si="4"/>
        <v>COMPLETO</v>
      </c>
    </row>
    <row r="28" spans="1:17" ht="22.8">
      <c r="A28" s="13">
        <v>29830</v>
      </c>
      <c r="B28" s="15">
        <v>1981</v>
      </c>
      <c r="C28" s="15">
        <v>9</v>
      </c>
      <c r="D28" s="15" t="s">
        <v>155</v>
      </c>
      <c r="E28" s="15" t="str">
        <f>'Hoja 1 - Área y fuentes'!C20</f>
        <v>Serie sintética de capacitación</v>
      </c>
      <c r="F28" s="15" t="str">
        <f>'Hoja 1 - Área y fuentes'!D20</f>
        <v>DID-001</v>
      </c>
      <c r="G28" s="12">
        <v>115.4</v>
      </c>
      <c r="H28" s="10" t="s">
        <v>56</v>
      </c>
      <c r="I28" s="10" t="s">
        <v>50</v>
      </c>
      <c r="J28" s="15" t="str">
        <f>'Hoja 1 - Área y fuentes'!M20</f>
        <v>Sustituir por IDEAM u otra fuente oficial</v>
      </c>
      <c r="K28" s="10" t="s">
        <v>165</v>
      </c>
      <c r="L28" s="15" t="str">
        <f>IF(G28="","FALTANTE",IF(G28&lt;0,"NEGATIVO",IF(H28&lt;&gt;"mm","UNIDAD",IF(COUNTIF($A$20:A28,A28)&gt;1,"DUPLICADO","OK"))))</f>
        <v>OK</v>
      </c>
      <c r="N28" s="9">
        <v>1985</v>
      </c>
      <c r="O28" s="18">
        <f t="shared" si="2"/>
        <v>1146.3</v>
      </c>
      <c r="P28" s="15">
        <f t="shared" si="3"/>
        <v>12</v>
      </c>
      <c r="Q28" s="15" t="str">
        <f t="shared" si="4"/>
        <v>COMPLETO</v>
      </c>
    </row>
    <row r="29" spans="1:17" ht="22.8">
      <c r="A29" s="13">
        <v>29860</v>
      </c>
      <c r="B29" s="15">
        <v>1981</v>
      </c>
      <c r="C29" s="15">
        <v>10</v>
      </c>
      <c r="D29" s="15" t="s">
        <v>157</v>
      </c>
      <c r="E29" s="15" t="str">
        <f>'Hoja 1 - Área y fuentes'!C20</f>
        <v>Serie sintética de capacitación</v>
      </c>
      <c r="F29" s="15" t="str">
        <f>'Hoja 1 - Área y fuentes'!D20</f>
        <v>DID-001</v>
      </c>
      <c r="G29" s="12">
        <v>155.69999999999999</v>
      </c>
      <c r="H29" s="10" t="s">
        <v>56</v>
      </c>
      <c r="I29" s="10" t="s">
        <v>50</v>
      </c>
      <c r="J29" s="15" t="str">
        <f>'Hoja 1 - Área y fuentes'!M20</f>
        <v>Sustituir por IDEAM u otra fuente oficial</v>
      </c>
      <c r="K29" s="10" t="s">
        <v>165</v>
      </c>
      <c r="L29" s="15" t="str">
        <f>IF(G29="","FALTANTE",IF(G29&lt;0,"NEGATIVO",IF(H29&lt;&gt;"mm","UNIDAD",IF(COUNTIF($A$20:A29,A29)&gt;1,"DUPLICADO","OK"))))</f>
        <v>OK</v>
      </c>
      <c r="N29" s="9">
        <v>1986</v>
      </c>
      <c r="O29" s="18">
        <f t="shared" si="2"/>
        <v>1307</v>
      </c>
      <c r="P29" s="15">
        <f t="shared" si="3"/>
        <v>12</v>
      </c>
      <c r="Q29" s="15" t="str">
        <f t="shared" si="4"/>
        <v>COMPLETO</v>
      </c>
    </row>
    <row r="30" spans="1:17" ht="22.8">
      <c r="A30" s="13">
        <v>29891</v>
      </c>
      <c r="B30" s="15">
        <v>1981</v>
      </c>
      <c r="C30" s="15">
        <v>11</v>
      </c>
      <c r="D30" s="15" t="s">
        <v>158</v>
      </c>
      <c r="E30" s="15" t="str">
        <f>'Hoja 1 - Área y fuentes'!C20</f>
        <v>Serie sintética de capacitación</v>
      </c>
      <c r="F30" s="15" t="str">
        <f>'Hoja 1 - Área y fuentes'!D20</f>
        <v>DID-001</v>
      </c>
      <c r="G30" s="12">
        <v>133.4</v>
      </c>
      <c r="H30" s="10" t="s">
        <v>56</v>
      </c>
      <c r="I30" s="10" t="s">
        <v>50</v>
      </c>
      <c r="J30" s="15" t="str">
        <f>'Hoja 1 - Área y fuentes'!M20</f>
        <v>Sustituir por IDEAM u otra fuente oficial</v>
      </c>
      <c r="K30" s="10" t="s">
        <v>165</v>
      </c>
      <c r="L30" s="15" t="str">
        <f>IF(G30="","FALTANTE",IF(G30&lt;0,"NEGATIVO",IF(H30&lt;&gt;"mm","UNIDAD",IF(COUNTIF($A$20:A30,A30)&gt;1,"DUPLICADO","OK"))))</f>
        <v>OK</v>
      </c>
      <c r="N30" s="9">
        <v>1987</v>
      </c>
      <c r="O30" s="18">
        <f t="shared" si="2"/>
        <v>1410.1</v>
      </c>
      <c r="P30" s="15">
        <f t="shared" si="3"/>
        <v>12</v>
      </c>
      <c r="Q30" s="15" t="str">
        <f t="shared" si="4"/>
        <v>COMPLETO</v>
      </c>
    </row>
    <row r="31" spans="1:17" ht="22.8">
      <c r="A31" s="13">
        <v>29921</v>
      </c>
      <c r="B31" s="15">
        <v>1981</v>
      </c>
      <c r="C31" s="15">
        <v>12</v>
      </c>
      <c r="D31" s="15" t="s">
        <v>164</v>
      </c>
      <c r="E31" s="15" t="str">
        <f>'Hoja 1 - Área y fuentes'!C20</f>
        <v>Serie sintética de capacitación</v>
      </c>
      <c r="F31" s="15" t="str">
        <f>'Hoja 1 - Área y fuentes'!D20</f>
        <v>DID-001</v>
      </c>
      <c r="G31" s="12">
        <v>80.400000000000006</v>
      </c>
      <c r="H31" s="10" t="s">
        <v>56</v>
      </c>
      <c r="I31" s="10" t="s">
        <v>50</v>
      </c>
      <c r="J31" s="15" t="str">
        <f>'Hoja 1 - Área y fuentes'!M20</f>
        <v>Sustituir por IDEAM u otra fuente oficial</v>
      </c>
      <c r="K31" s="10" t="s">
        <v>165</v>
      </c>
      <c r="L31" s="15" t="str">
        <f>IF(G31="","FALTANTE",IF(G31&lt;0,"NEGATIVO",IF(H31&lt;&gt;"mm","UNIDAD",IF(COUNTIF($A$20:A31,A31)&gt;1,"DUPLICADO","OK"))))</f>
        <v>OK</v>
      </c>
      <c r="N31" s="9">
        <v>1988</v>
      </c>
      <c r="O31" s="18">
        <f t="shared" si="2"/>
        <v>1307.5999999999999</v>
      </c>
      <c r="P31" s="15">
        <f t="shared" si="3"/>
        <v>12</v>
      </c>
      <c r="Q31" s="15" t="str">
        <f t="shared" si="4"/>
        <v>COMPLETO</v>
      </c>
    </row>
    <row r="32" spans="1:17" ht="22.8">
      <c r="A32" s="13">
        <v>29952</v>
      </c>
      <c r="B32" s="15">
        <v>1982</v>
      </c>
      <c r="C32" s="15">
        <v>1</v>
      </c>
      <c r="D32" s="15" t="s">
        <v>134</v>
      </c>
      <c r="E32" s="15" t="str">
        <f>'Hoja 1 - Área y fuentes'!C20</f>
        <v>Serie sintética de capacitación</v>
      </c>
      <c r="F32" s="15" t="str">
        <f>'Hoja 1 - Área y fuentes'!D20</f>
        <v>DID-001</v>
      </c>
      <c r="G32" s="12">
        <v>72.2</v>
      </c>
      <c r="H32" s="10" t="s">
        <v>56</v>
      </c>
      <c r="I32" s="10" t="s">
        <v>50</v>
      </c>
      <c r="J32" s="15" t="str">
        <f>'Hoja 1 - Área y fuentes'!M20</f>
        <v>Sustituir por IDEAM u otra fuente oficial</v>
      </c>
      <c r="K32" s="10" t="s">
        <v>165</v>
      </c>
      <c r="L32" s="15" t="str">
        <f>IF(G32="","FALTANTE",IF(G32&lt;0,"NEGATIVO",IF(H32&lt;&gt;"mm","UNIDAD",IF(COUNTIF($A$20:A32,A32)&gt;1,"DUPLICADO","OK"))))</f>
        <v>OK</v>
      </c>
      <c r="N32" s="9">
        <v>1989</v>
      </c>
      <c r="O32" s="18">
        <f t="shared" si="2"/>
        <v>1151</v>
      </c>
      <c r="P32" s="15">
        <f t="shared" si="3"/>
        <v>12</v>
      </c>
      <c r="Q32" s="15" t="str">
        <f t="shared" si="4"/>
        <v>COMPLETO</v>
      </c>
    </row>
    <row r="33" spans="1:25" ht="22.8">
      <c r="A33" s="13">
        <v>29983</v>
      </c>
      <c r="B33" s="15">
        <v>1982</v>
      </c>
      <c r="C33" s="15">
        <v>2</v>
      </c>
      <c r="D33" s="15" t="s">
        <v>141</v>
      </c>
      <c r="E33" s="15" t="str">
        <f>'Hoja 1 - Área y fuentes'!C20</f>
        <v>Serie sintética de capacitación</v>
      </c>
      <c r="F33" s="15" t="str">
        <f>'Hoja 1 - Área y fuentes'!D20</f>
        <v>DID-001</v>
      </c>
      <c r="G33" s="12">
        <v>80.900000000000006</v>
      </c>
      <c r="H33" s="10" t="s">
        <v>56</v>
      </c>
      <c r="I33" s="10" t="s">
        <v>50</v>
      </c>
      <c r="J33" s="15" t="str">
        <f>'Hoja 1 - Área y fuentes'!M20</f>
        <v>Sustituir por IDEAM u otra fuente oficial</v>
      </c>
      <c r="K33" s="10" t="s">
        <v>165</v>
      </c>
      <c r="L33" s="15" t="str">
        <f>IF(G33="","FALTANTE",IF(G33&lt;0,"NEGATIVO",IF(H33&lt;&gt;"mm","UNIDAD",IF(COUNTIF($A$20:A33,A33)&gt;1,"DUPLICADO","OK"))))</f>
        <v>OK</v>
      </c>
      <c r="N33" s="9">
        <v>1990</v>
      </c>
      <c r="O33" s="18">
        <f t="shared" si="2"/>
        <v>1172.5</v>
      </c>
      <c r="P33" s="15">
        <f t="shared" si="3"/>
        <v>12</v>
      </c>
      <c r="Q33" s="15" t="str">
        <f t="shared" si="4"/>
        <v>COMPLETO</v>
      </c>
    </row>
    <row r="34" spans="1:25" ht="22.8">
      <c r="A34" s="13">
        <v>30011</v>
      </c>
      <c r="B34" s="15">
        <v>1982</v>
      </c>
      <c r="C34" s="15">
        <v>3</v>
      </c>
      <c r="D34" s="15" t="s">
        <v>148</v>
      </c>
      <c r="E34" s="15" t="str">
        <f>'Hoja 1 - Área y fuentes'!C20</f>
        <v>Serie sintética de capacitación</v>
      </c>
      <c r="F34" s="15" t="str">
        <f>'Hoja 1 - Área y fuentes'!D20</f>
        <v>DID-001</v>
      </c>
      <c r="G34" s="12">
        <v>116.8</v>
      </c>
      <c r="H34" s="10" t="s">
        <v>56</v>
      </c>
      <c r="I34" s="10" t="s">
        <v>50</v>
      </c>
      <c r="J34" s="15" t="str">
        <f>'Hoja 1 - Área y fuentes'!M20</f>
        <v>Sustituir por IDEAM u otra fuente oficial</v>
      </c>
      <c r="K34" s="10" t="s">
        <v>165</v>
      </c>
      <c r="L34" s="15" t="str">
        <f>IF(G34="","FALTANTE",IF(G34&lt;0,"NEGATIVO",IF(H34&lt;&gt;"mm","UNIDAD",IF(COUNTIF($A$20:A34,A34)&gt;1,"DUPLICADO","OK"))))</f>
        <v>OK</v>
      </c>
      <c r="N34" s="9">
        <v>1991</v>
      </c>
      <c r="O34" s="18">
        <f t="shared" si="2"/>
        <v>1341.1000000000001</v>
      </c>
      <c r="P34" s="15">
        <f t="shared" si="3"/>
        <v>12</v>
      </c>
      <c r="Q34" s="15" t="str">
        <f t="shared" si="4"/>
        <v>COMPLETO</v>
      </c>
    </row>
    <row r="35" spans="1:25" ht="22.8">
      <c r="A35" s="13">
        <v>30042</v>
      </c>
      <c r="B35" s="15">
        <v>1982</v>
      </c>
      <c r="C35" s="15">
        <v>4</v>
      </c>
      <c r="D35" s="15" t="s">
        <v>149</v>
      </c>
      <c r="E35" s="15" t="str">
        <f>'Hoja 1 - Área y fuentes'!C20</f>
        <v>Serie sintética de capacitación</v>
      </c>
      <c r="F35" s="15" t="str">
        <f>'Hoja 1 - Área y fuentes'!D20</f>
        <v>DID-001</v>
      </c>
      <c r="G35" s="12">
        <v>165.6</v>
      </c>
      <c r="H35" s="10" t="s">
        <v>56</v>
      </c>
      <c r="I35" s="10" t="s">
        <v>50</v>
      </c>
      <c r="J35" s="15" t="str">
        <f>'Hoja 1 - Área y fuentes'!M20</f>
        <v>Sustituir por IDEAM u otra fuente oficial</v>
      </c>
      <c r="K35" s="10" t="s">
        <v>165</v>
      </c>
      <c r="L35" s="15" t="str">
        <f>IF(G35="","FALTANTE",IF(G35&lt;0,"NEGATIVO",IF(H35&lt;&gt;"mm","UNIDAD",IF(COUNTIF($A$20:A35,A35)&gt;1,"DUPLICADO","OK"))))</f>
        <v>OK</v>
      </c>
      <c r="N35" s="9">
        <v>1992</v>
      </c>
      <c r="O35" s="18">
        <f t="shared" si="2"/>
        <v>1401.3</v>
      </c>
      <c r="P35" s="15">
        <f t="shared" si="3"/>
        <v>12</v>
      </c>
      <c r="Q35" s="15" t="str">
        <f t="shared" si="4"/>
        <v>COMPLETO</v>
      </c>
    </row>
    <row r="36" spans="1:25" ht="22.8">
      <c r="A36" s="13">
        <v>30072</v>
      </c>
      <c r="B36" s="15">
        <v>1982</v>
      </c>
      <c r="C36" s="15">
        <v>5</v>
      </c>
      <c r="D36" s="15" t="s">
        <v>151</v>
      </c>
      <c r="E36" s="15" t="str">
        <f>'Hoja 1 - Área y fuentes'!C20</f>
        <v>Serie sintética de capacitación</v>
      </c>
      <c r="F36" s="15" t="str">
        <f>'Hoja 1 - Área y fuentes'!D20</f>
        <v>DID-001</v>
      </c>
      <c r="G36" s="12">
        <v>153.19999999999999</v>
      </c>
      <c r="H36" s="10" t="s">
        <v>56</v>
      </c>
      <c r="I36" s="10" t="s">
        <v>50</v>
      </c>
      <c r="J36" s="15" t="str">
        <f>'Hoja 1 - Área y fuentes'!M20</f>
        <v>Sustituir por IDEAM u otra fuente oficial</v>
      </c>
      <c r="K36" s="10" t="s">
        <v>165</v>
      </c>
      <c r="L36" s="15" t="str">
        <f>IF(G36="","FALTANTE",IF(G36&lt;0,"NEGATIVO",IF(H36&lt;&gt;"mm","UNIDAD",IF(COUNTIF($A$20:A36,A36)&gt;1,"DUPLICADO","OK"))))</f>
        <v>OK</v>
      </c>
      <c r="N36" s="9">
        <v>1993</v>
      </c>
      <c r="O36" s="18">
        <f t="shared" si="2"/>
        <v>1265.9000000000001</v>
      </c>
      <c r="P36" s="15">
        <f t="shared" si="3"/>
        <v>12</v>
      </c>
      <c r="Q36" s="15" t="str">
        <f t="shared" si="4"/>
        <v>COMPLETO</v>
      </c>
    </row>
    <row r="37" spans="1:25" ht="22.8">
      <c r="A37" s="13">
        <v>30103</v>
      </c>
      <c r="B37" s="15">
        <v>1982</v>
      </c>
      <c r="C37" s="15">
        <v>6</v>
      </c>
      <c r="D37" s="15" t="s">
        <v>152</v>
      </c>
      <c r="E37" s="15" t="str">
        <f>'Hoja 1 - Área y fuentes'!C20</f>
        <v>Serie sintética de capacitación</v>
      </c>
      <c r="F37" s="15" t="str">
        <f>'Hoja 1 - Área y fuentes'!D20</f>
        <v>DID-001</v>
      </c>
      <c r="G37" s="12">
        <v>95.8</v>
      </c>
      <c r="H37" s="10" t="s">
        <v>56</v>
      </c>
      <c r="I37" s="10" t="s">
        <v>50</v>
      </c>
      <c r="J37" s="15" t="str">
        <f>'Hoja 1 - Área y fuentes'!M20</f>
        <v>Sustituir por IDEAM u otra fuente oficial</v>
      </c>
      <c r="K37" s="10" t="s">
        <v>165</v>
      </c>
      <c r="L37" s="15" t="str">
        <f>IF(G37="","FALTANTE",IF(G37&lt;0,"NEGATIVO",IF(H37&lt;&gt;"mm","UNIDAD",IF(COUNTIF($A$20:A37,A37)&gt;1,"DUPLICADO","OK"))))</f>
        <v>OK</v>
      </c>
      <c r="N37" s="9">
        <v>1994</v>
      </c>
      <c r="O37" s="18">
        <f t="shared" si="2"/>
        <v>1144.6000000000001</v>
      </c>
      <c r="P37" s="15">
        <f t="shared" si="3"/>
        <v>12</v>
      </c>
      <c r="Q37" s="15" t="str">
        <f t="shared" si="4"/>
        <v>COMPLETO</v>
      </c>
    </row>
    <row r="38" spans="1:25" ht="22.8">
      <c r="A38" s="13">
        <v>30133</v>
      </c>
      <c r="B38" s="15">
        <v>1982</v>
      </c>
      <c r="C38" s="15">
        <v>7</v>
      </c>
      <c r="D38" s="15" t="s">
        <v>153</v>
      </c>
      <c r="E38" s="15" t="str">
        <f>'Hoja 1 - Área y fuentes'!C20</f>
        <v>Serie sintética de capacitación</v>
      </c>
      <c r="F38" s="15" t="str">
        <f>'Hoja 1 - Área y fuentes'!D20</f>
        <v>DID-001</v>
      </c>
      <c r="G38" s="12">
        <v>80.400000000000006</v>
      </c>
      <c r="H38" s="10" t="s">
        <v>56</v>
      </c>
      <c r="I38" s="10" t="s">
        <v>50</v>
      </c>
      <c r="J38" s="15" t="str">
        <f>'Hoja 1 - Área y fuentes'!M20</f>
        <v>Sustituir por IDEAM u otra fuente oficial</v>
      </c>
      <c r="K38" s="10" t="s">
        <v>165</v>
      </c>
      <c r="L38" s="15" t="str">
        <f>IF(G38="","FALTANTE",IF(G38&lt;0,"NEGATIVO",IF(H38&lt;&gt;"mm","UNIDAD",IF(COUNTIF($A$20:A38,A38)&gt;1,"DUPLICADO","OK"))))</f>
        <v>OK</v>
      </c>
      <c r="N38" s="9">
        <v>1995</v>
      </c>
      <c r="O38" s="18">
        <f t="shared" si="2"/>
        <v>1187.5999999999999</v>
      </c>
      <c r="P38" s="15">
        <f t="shared" si="3"/>
        <v>12</v>
      </c>
      <c r="Q38" s="15" t="str">
        <f t="shared" si="4"/>
        <v>COMPLETO</v>
      </c>
    </row>
    <row r="39" spans="1:25" ht="22.8">
      <c r="A39" s="13">
        <v>30164</v>
      </c>
      <c r="B39" s="15">
        <v>1982</v>
      </c>
      <c r="C39" s="15">
        <v>8</v>
      </c>
      <c r="D39" s="15" t="s">
        <v>154</v>
      </c>
      <c r="E39" s="15" t="str">
        <f>'Hoja 1 - Área y fuentes'!C20</f>
        <v>Serie sintética de capacitación</v>
      </c>
      <c r="F39" s="15" t="str">
        <f>'Hoja 1 - Área y fuentes'!D20</f>
        <v>DID-001</v>
      </c>
      <c r="G39" s="12">
        <v>86.1</v>
      </c>
      <c r="H39" s="10" t="s">
        <v>56</v>
      </c>
      <c r="I39" s="10" t="s">
        <v>50</v>
      </c>
      <c r="J39" s="15" t="str">
        <f>'Hoja 1 - Área y fuentes'!M20</f>
        <v>Sustituir por IDEAM u otra fuente oficial</v>
      </c>
      <c r="K39" s="10" t="s">
        <v>165</v>
      </c>
      <c r="L39" s="15" t="str">
        <f>IF(G39="","FALTANTE",IF(G39&lt;0,"NEGATIVO",IF(H39&lt;&gt;"mm","UNIDAD",IF(COUNTIF($A$20:A39,A39)&gt;1,"DUPLICADO","OK"))))</f>
        <v>OK</v>
      </c>
      <c r="N39" s="9">
        <v>1996</v>
      </c>
      <c r="O39" s="18">
        <f t="shared" si="2"/>
        <v>1348.3</v>
      </c>
      <c r="P39" s="15">
        <f t="shared" si="3"/>
        <v>12</v>
      </c>
      <c r="Q39" s="15" t="str">
        <f t="shared" si="4"/>
        <v>COMPLETO</v>
      </c>
    </row>
    <row r="40" spans="1:25" ht="22.8">
      <c r="A40" s="13">
        <v>30195</v>
      </c>
      <c r="B40" s="15">
        <v>1982</v>
      </c>
      <c r="C40" s="15">
        <v>9</v>
      </c>
      <c r="D40" s="15" t="s">
        <v>155</v>
      </c>
      <c r="E40" s="15" t="str">
        <f>'Hoja 1 - Área y fuentes'!C20</f>
        <v>Serie sintética de capacitación</v>
      </c>
      <c r="F40" s="15" t="str">
        <f>'Hoja 1 - Área y fuentes'!D20</f>
        <v>DID-001</v>
      </c>
      <c r="G40" s="12">
        <v>135.1</v>
      </c>
      <c r="H40" s="10" t="s">
        <v>56</v>
      </c>
      <c r="I40" s="10" t="s">
        <v>50</v>
      </c>
      <c r="J40" s="15" t="str">
        <f>'Hoja 1 - Área y fuentes'!M20</f>
        <v>Sustituir por IDEAM u otra fuente oficial</v>
      </c>
      <c r="K40" s="10" t="s">
        <v>165</v>
      </c>
      <c r="L40" s="15" t="str">
        <f>IF(G40="","FALTANTE",IF(G40&lt;0,"NEGATIVO",IF(H40&lt;&gt;"mm","UNIDAD",IF(COUNTIF($A$20:A40,A40)&gt;1,"DUPLICADO","OK"))))</f>
        <v>OK</v>
      </c>
      <c r="N40" s="9">
        <v>1997</v>
      </c>
      <c r="O40" s="18">
        <f t="shared" si="2"/>
        <v>1446.8999999999996</v>
      </c>
      <c r="P40" s="15">
        <f t="shared" si="3"/>
        <v>12</v>
      </c>
      <c r="Q40" s="15" t="str">
        <f t="shared" si="4"/>
        <v>COMPLETO</v>
      </c>
    </row>
    <row r="41" spans="1:25" ht="22.8">
      <c r="A41" s="13">
        <v>30225</v>
      </c>
      <c r="B41" s="15">
        <v>1982</v>
      </c>
      <c r="C41" s="15">
        <v>10</v>
      </c>
      <c r="D41" s="15" t="s">
        <v>157</v>
      </c>
      <c r="E41" s="15" t="str">
        <f>'Hoja 1 - Área y fuentes'!C20</f>
        <v>Serie sintética de capacitación</v>
      </c>
      <c r="F41" s="15" t="str">
        <f>'Hoja 1 - Área y fuentes'!D20</f>
        <v>DID-001</v>
      </c>
      <c r="G41" s="12">
        <v>175</v>
      </c>
      <c r="H41" s="10" t="s">
        <v>56</v>
      </c>
      <c r="I41" s="10" t="s">
        <v>50</v>
      </c>
      <c r="J41" s="15" t="str">
        <f>'Hoja 1 - Área y fuentes'!M20</f>
        <v>Sustituir por IDEAM u otra fuente oficial</v>
      </c>
      <c r="K41" s="10" t="s">
        <v>165</v>
      </c>
      <c r="L41" s="15" t="str">
        <f>IF(G41="","FALTANTE",IF(G41&lt;0,"NEGATIVO",IF(H41&lt;&gt;"mm","UNIDAD",IF(COUNTIF($A$20:A41,A41)&gt;1,"DUPLICADO","OK"))))</f>
        <v>OK</v>
      </c>
      <c r="N41" s="9">
        <v>1998</v>
      </c>
      <c r="O41" s="18">
        <f t="shared" si="2"/>
        <v>1211.1000000000001</v>
      </c>
      <c r="P41" s="15">
        <f t="shared" si="3"/>
        <v>12</v>
      </c>
      <c r="Q41" s="15" t="str">
        <f t="shared" si="4"/>
        <v>COMPLETO</v>
      </c>
    </row>
    <row r="42" spans="1:25" ht="22.8">
      <c r="A42" s="13">
        <v>30256</v>
      </c>
      <c r="B42" s="15">
        <v>1982</v>
      </c>
      <c r="C42" s="15">
        <v>11</v>
      </c>
      <c r="D42" s="15" t="s">
        <v>158</v>
      </c>
      <c r="E42" s="15" t="str">
        <f>'Hoja 1 - Área y fuentes'!C20</f>
        <v>Serie sintética de capacitación</v>
      </c>
      <c r="F42" s="15" t="str">
        <f>'Hoja 1 - Área y fuentes'!D20</f>
        <v>DID-001</v>
      </c>
      <c r="G42" s="12">
        <v>144.19999999999999</v>
      </c>
      <c r="H42" s="10" t="s">
        <v>56</v>
      </c>
      <c r="I42" s="10" t="s">
        <v>50</v>
      </c>
      <c r="J42" s="15" t="str">
        <f>'Hoja 1 - Área y fuentes'!M20</f>
        <v>Sustituir por IDEAM u otra fuente oficial</v>
      </c>
      <c r="K42" s="10" t="s">
        <v>165</v>
      </c>
      <c r="L42" s="15" t="str">
        <f>IF(G42="","FALTANTE",IF(G42&lt;0,"NEGATIVO",IF(H42&lt;&gt;"mm","UNIDAD",IF(COUNTIF($A$20:A42,A42)&gt;1,"DUPLICADO","OK"))))</f>
        <v>OK</v>
      </c>
      <c r="N42" s="9">
        <v>1999</v>
      </c>
      <c r="O42" s="18">
        <f t="shared" si="2"/>
        <v>1114.8999999999999</v>
      </c>
      <c r="P42" s="15">
        <f t="shared" si="3"/>
        <v>12</v>
      </c>
      <c r="Q42" s="15" t="str">
        <f t="shared" si="4"/>
        <v>COMPLETO</v>
      </c>
      <c r="S42" s="74" t="s">
        <v>169</v>
      </c>
      <c r="T42" s="75"/>
      <c r="U42" s="75"/>
      <c r="V42" s="75"/>
      <c r="W42" s="75"/>
      <c r="X42" s="75"/>
      <c r="Y42" s="76"/>
    </row>
    <row r="43" spans="1:25" ht="22.8">
      <c r="A43" s="13">
        <v>30286</v>
      </c>
      <c r="B43" s="15">
        <v>1982</v>
      </c>
      <c r="C43" s="15">
        <v>12</v>
      </c>
      <c r="D43" s="15" t="s">
        <v>164</v>
      </c>
      <c r="E43" s="15" t="str">
        <f>'Hoja 1 - Área y fuentes'!C20</f>
        <v>Serie sintética de capacitación</v>
      </c>
      <c r="F43" s="15" t="str">
        <f>'Hoja 1 - Área y fuentes'!D20</f>
        <v>DID-001</v>
      </c>
      <c r="G43" s="12">
        <v>85</v>
      </c>
      <c r="H43" s="10" t="s">
        <v>56</v>
      </c>
      <c r="I43" s="10" t="s">
        <v>50</v>
      </c>
      <c r="J43" s="15" t="str">
        <f>'Hoja 1 - Área y fuentes'!M20</f>
        <v>Sustituir por IDEAM u otra fuente oficial</v>
      </c>
      <c r="K43" s="10" t="s">
        <v>165</v>
      </c>
      <c r="L43" s="15" t="str">
        <f>IF(G43="","FALTANTE",IF(G43&lt;0,"NEGATIVO",IF(H43&lt;&gt;"mm","UNIDAD",IF(COUNTIF($A$20:A43,A43)&gt;1,"DUPLICADO","OK"))))</f>
        <v>OK</v>
      </c>
      <c r="N43" s="9">
        <v>2000</v>
      </c>
      <c r="O43" s="18">
        <f t="shared" si="2"/>
        <v>1246.4999999999998</v>
      </c>
      <c r="P43" s="15">
        <f t="shared" si="3"/>
        <v>12</v>
      </c>
      <c r="Q43" s="15" t="str">
        <f t="shared" si="4"/>
        <v>COMPLETO</v>
      </c>
      <c r="S43" s="77"/>
      <c r="T43" s="78"/>
      <c r="U43" s="78"/>
      <c r="V43" s="78"/>
      <c r="W43" s="78"/>
      <c r="X43" s="78"/>
      <c r="Y43" s="79"/>
    </row>
    <row r="44" spans="1:25" ht="22.8">
      <c r="A44" s="13">
        <v>30317</v>
      </c>
      <c r="B44" s="15">
        <v>1983</v>
      </c>
      <c r="C44" s="15">
        <v>1</v>
      </c>
      <c r="D44" s="15" t="s">
        <v>134</v>
      </c>
      <c r="E44" s="15" t="str">
        <f>'Hoja 1 - Área y fuentes'!C20</f>
        <v>Serie sintética de capacitación</v>
      </c>
      <c r="F44" s="15" t="str">
        <f>'Hoja 1 - Área y fuentes'!D20</f>
        <v>DID-001</v>
      </c>
      <c r="G44" s="12">
        <v>66.8</v>
      </c>
      <c r="H44" s="10" t="s">
        <v>56</v>
      </c>
      <c r="I44" s="10" t="s">
        <v>50</v>
      </c>
      <c r="J44" s="15" t="str">
        <f>'Hoja 1 - Área y fuentes'!M20</f>
        <v>Sustituir por IDEAM u otra fuente oficial</v>
      </c>
      <c r="K44" s="10" t="s">
        <v>165</v>
      </c>
      <c r="L44" s="15" t="str">
        <f>IF(G44="","FALTANTE",IF(G44&lt;0,"NEGATIVO",IF(H44&lt;&gt;"mm","UNIDAD",IF(COUNTIF($A$20:A44,A44)&gt;1,"DUPLICADO","OK"))))</f>
        <v>OK</v>
      </c>
      <c r="N44" s="9">
        <v>2001</v>
      </c>
      <c r="O44" s="18">
        <f t="shared" si="2"/>
        <v>1390.5000000000002</v>
      </c>
      <c r="P44" s="15">
        <f t="shared" si="3"/>
        <v>12</v>
      </c>
      <c r="Q44" s="15" t="str">
        <f t="shared" si="4"/>
        <v>COMPLETO</v>
      </c>
      <c r="S44" s="77"/>
      <c r="T44" s="78"/>
      <c r="U44" s="78"/>
      <c r="V44" s="78"/>
      <c r="W44" s="78"/>
      <c r="X44" s="78"/>
      <c r="Y44" s="79"/>
    </row>
    <row r="45" spans="1:25" ht="22.8">
      <c r="A45" s="13">
        <v>30348</v>
      </c>
      <c r="B45" s="15">
        <v>1983</v>
      </c>
      <c r="C45" s="15">
        <v>2</v>
      </c>
      <c r="D45" s="15" t="s">
        <v>141</v>
      </c>
      <c r="E45" s="15" t="str">
        <f>'Hoja 1 - Área y fuentes'!C20</f>
        <v>Serie sintética de capacitación</v>
      </c>
      <c r="F45" s="15" t="str">
        <f>'Hoja 1 - Área y fuentes'!D20</f>
        <v>DID-001</v>
      </c>
      <c r="G45" s="12">
        <v>75.8</v>
      </c>
      <c r="H45" s="10" t="s">
        <v>56</v>
      </c>
      <c r="I45" s="10" t="s">
        <v>50</v>
      </c>
      <c r="J45" s="15" t="str">
        <f>'Hoja 1 - Área y fuentes'!M20</f>
        <v>Sustituir por IDEAM u otra fuente oficial</v>
      </c>
      <c r="K45" s="10" t="s">
        <v>165</v>
      </c>
      <c r="L45" s="15" t="str">
        <f>IF(G45="","FALTANTE",IF(G45&lt;0,"NEGATIVO",IF(H45&lt;&gt;"mm","UNIDAD",IF(COUNTIF($A$20:A45,A45)&gt;1,"DUPLICADO","OK"))))</f>
        <v>OK</v>
      </c>
      <c r="N45" s="9">
        <v>2002</v>
      </c>
      <c r="O45" s="18">
        <f t="shared" si="2"/>
        <v>1363.7999999999997</v>
      </c>
      <c r="P45" s="15">
        <f t="shared" si="3"/>
        <v>12</v>
      </c>
      <c r="Q45" s="15" t="str">
        <f t="shared" si="4"/>
        <v>COMPLETO</v>
      </c>
      <c r="S45" s="77"/>
      <c r="T45" s="78"/>
      <c r="U45" s="78"/>
      <c r="V45" s="78"/>
      <c r="W45" s="78"/>
      <c r="X45" s="78"/>
      <c r="Y45" s="79"/>
    </row>
    <row r="46" spans="1:25" ht="22.8">
      <c r="A46" s="13">
        <v>30376</v>
      </c>
      <c r="B46" s="15">
        <v>1983</v>
      </c>
      <c r="C46" s="15">
        <v>3</v>
      </c>
      <c r="D46" s="15" t="s">
        <v>148</v>
      </c>
      <c r="E46" s="15" t="str">
        <f>'Hoja 1 - Área y fuentes'!C20</f>
        <v>Serie sintética de capacitación</v>
      </c>
      <c r="F46" s="15" t="str">
        <f>'Hoja 1 - Área y fuentes'!D20</f>
        <v>DID-001</v>
      </c>
      <c r="G46" s="12">
        <v>114.7</v>
      </c>
      <c r="H46" s="10" t="s">
        <v>56</v>
      </c>
      <c r="I46" s="10" t="s">
        <v>50</v>
      </c>
      <c r="J46" s="15" t="str">
        <f>'Hoja 1 - Área y fuentes'!M20</f>
        <v>Sustituir por IDEAM u otra fuente oficial</v>
      </c>
      <c r="K46" s="10" t="s">
        <v>165</v>
      </c>
      <c r="L46" s="15" t="str">
        <f>IF(G46="","FALTANTE",IF(G46&lt;0,"NEGATIVO",IF(H46&lt;&gt;"mm","UNIDAD",IF(COUNTIF($A$20:A46,A46)&gt;1,"DUPLICADO","OK"))))</f>
        <v>OK</v>
      </c>
      <c r="N46" s="9">
        <v>2003</v>
      </c>
      <c r="O46" s="18">
        <f t="shared" si="2"/>
        <v>1197.7</v>
      </c>
      <c r="P46" s="15">
        <f t="shared" si="3"/>
        <v>12</v>
      </c>
      <c r="Q46" s="15" t="str">
        <f t="shared" si="4"/>
        <v>COMPLETO</v>
      </c>
      <c r="S46" s="80"/>
      <c r="T46" s="81"/>
      <c r="U46" s="81"/>
      <c r="V46" s="81"/>
      <c r="W46" s="81"/>
      <c r="X46" s="81"/>
      <c r="Y46" s="82"/>
    </row>
    <row r="47" spans="1:25" ht="22.8">
      <c r="A47" s="13">
        <v>30407</v>
      </c>
      <c r="B47" s="15">
        <v>1983</v>
      </c>
      <c r="C47" s="15">
        <v>4</v>
      </c>
      <c r="D47" s="15" t="s">
        <v>149</v>
      </c>
      <c r="E47" s="15" t="str">
        <f>'Hoja 1 - Área y fuentes'!C20</f>
        <v>Serie sintética de capacitación</v>
      </c>
      <c r="F47" s="15" t="str">
        <f>'Hoja 1 - Área y fuentes'!D20</f>
        <v>DID-001</v>
      </c>
      <c r="G47" s="12">
        <v>168.7</v>
      </c>
      <c r="H47" s="10" t="s">
        <v>56</v>
      </c>
      <c r="I47" s="10" t="s">
        <v>50</v>
      </c>
      <c r="J47" s="15" t="str">
        <f>'Hoja 1 - Área y fuentes'!M20</f>
        <v>Sustituir por IDEAM u otra fuente oficial</v>
      </c>
      <c r="K47" s="10" t="s">
        <v>165</v>
      </c>
      <c r="L47" s="15" t="str">
        <f>IF(G47="","FALTANTE",IF(G47&lt;0,"NEGATIVO",IF(H47&lt;&gt;"mm","UNIDAD",IF(COUNTIF($A$20:A47,A47)&gt;1,"DUPLICADO","OK"))))</f>
        <v>OK</v>
      </c>
      <c r="N47" s="9">
        <v>2004</v>
      </c>
      <c r="O47" s="18">
        <f t="shared" si="2"/>
        <v>1136.0999999999999</v>
      </c>
      <c r="P47" s="15">
        <f t="shared" si="3"/>
        <v>12</v>
      </c>
      <c r="Q47" s="15" t="str">
        <f t="shared" si="4"/>
        <v>COMPLETO</v>
      </c>
    </row>
    <row r="48" spans="1:25" ht="22.8">
      <c r="A48" s="13">
        <v>30437</v>
      </c>
      <c r="B48" s="15">
        <v>1983</v>
      </c>
      <c r="C48" s="15">
        <v>5</v>
      </c>
      <c r="D48" s="15" t="s">
        <v>151</v>
      </c>
      <c r="E48" s="15" t="str">
        <f>'Hoja 1 - Área y fuentes'!C20</f>
        <v>Serie sintética de capacitación</v>
      </c>
      <c r="F48" s="15" t="str">
        <f>'Hoja 1 - Área y fuentes'!D20</f>
        <v>DID-001</v>
      </c>
      <c r="G48" s="12">
        <v>153.5</v>
      </c>
      <c r="H48" s="10" t="s">
        <v>56</v>
      </c>
      <c r="I48" s="10" t="s">
        <v>50</v>
      </c>
      <c r="J48" s="15" t="str">
        <f>'Hoja 1 - Área y fuentes'!M20</f>
        <v>Sustituir por IDEAM u otra fuente oficial</v>
      </c>
      <c r="K48" s="10" t="s">
        <v>165</v>
      </c>
      <c r="L48" s="15" t="str">
        <f>IF(G48="","FALTANTE",IF(G48&lt;0,"NEGATIVO",IF(H48&lt;&gt;"mm","UNIDAD",IF(COUNTIF($A$20:A48,A48)&gt;1,"DUPLICADO","OK"))))</f>
        <v>OK</v>
      </c>
      <c r="N48" s="9">
        <v>2005</v>
      </c>
      <c r="O48" s="18">
        <f t="shared" si="2"/>
        <v>1275.6000000000001</v>
      </c>
      <c r="P48" s="15">
        <f t="shared" si="3"/>
        <v>12</v>
      </c>
      <c r="Q48" s="15" t="str">
        <f t="shared" si="4"/>
        <v>COMPLETO</v>
      </c>
    </row>
    <row r="49" spans="1:17" ht="22.8">
      <c r="A49" s="13">
        <v>30468</v>
      </c>
      <c r="B49" s="15">
        <v>1983</v>
      </c>
      <c r="C49" s="15">
        <v>6</v>
      </c>
      <c r="D49" s="15" t="s">
        <v>152</v>
      </c>
      <c r="E49" s="15" t="str">
        <f>'Hoja 1 - Área y fuentes'!C20</f>
        <v>Serie sintética de capacitación</v>
      </c>
      <c r="F49" s="15" t="str">
        <f>'Hoja 1 - Área y fuentes'!D20</f>
        <v>DID-001</v>
      </c>
      <c r="G49" s="12">
        <v>90</v>
      </c>
      <c r="H49" s="10" t="s">
        <v>56</v>
      </c>
      <c r="I49" s="10" t="s">
        <v>50</v>
      </c>
      <c r="J49" s="15" t="str">
        <f>'Hoja 1 - Área y fuentes'!M20</f>
        <v>Sustituir por IDEAM u otra fuente oficial</v>
      </c>
      <c r="K49" s="10" t="s">
        <v>165</v>
      </c>
      <c r="L49" s="15" t="str">
        <f>IF(G49="","FALTANTE",IF(G49&lt;0,"NEGATIVO",IF(H49&lt;&gt;"mm","UNIDAD",IF(COUNTIF($A$20:A49,A49)&gt;1,"DUPLICADO","OK"))))</f>
        <v>OK</v>
      </c>
      <c r="N49" s="9">
        <v>2006</v>
      </c>
      <c r="O49" s="18">
        <f t="shared" si="2"/>
        <v>1408.2</v>
      </c>
      <c r="P49" s="15">
        <f t="shared" si="3"/>
        <v>12</v>
      </c>
      <c r="Q49" s="15" t="str">
        <f t="shared" si="4"/>
        <v>COMPLETO</v>
      </c>
    </row>
    <row r="50" spans="1:17" ht="22.8">
      <c r="A50" s="13">
        <v>30498</v>
      </c>
      <c r="B50" s="15">
        <v>1983</v>
      </c>
      <c r="C50" s="15">
        <v>7</v>
      </c>
      <c r="D50" s="15" t="s">
        <v>153</v>
      </c>
      <c r="E50" s="15" t="str">
        <f>'Hoja 1 - Área y fuentes'!C20</f>
        <v>Serie sintética de capacitación</v>
      </c>
      <c r="F50" s="15" t="str">
        <f>'Hoja 1 - Área y fuentes'!D20</f>
        <v>DID-001</v>
      </c>
      <c r="G50" s="12">
        <v>71.099999999999994</v>
      </c>
      <c r="H50" s="10" t="s">
        <v>56</v>
      </c>
      <c r="I50" s="10" t="s">
        <v>50</v>
      </c>
      <c r="J50" s="15" t="str">
        <f>'Hoja 1 - Área y fuentes'!M20</f>
        <v>Sustituir por IDEAM u otra fuente oficial</v>
      </c>
      <c r="K50" s="10" t="s">
        <v>165</v>
      </c>
      <c r="L50" s="15" t="str">
        <f>IF(G50="","FALTANTE",IF(G50&lt;0,"NEGATIVO",IF(H50&lt;&gt;"mm","UNIDAD",IF(COUNTIF($A$20:A50,A50)&gt;1,"DUPLICADO","OK"))))</f>
        <v>OK</v>
      </c>
      <c r="N50" s="9">
        <v>2007</v>
      </c>
      <c r="O50" s="18">
        <f t="shared" si="2"/>
        <v>1337.4000000000003</v>
      </c>
      <c r="P50" s="15">
        <f t="shared" si="3"/>
        <v>12</v>
      </c>
      <c r="Q50" s="15" t="str">
        <f t="shared" si="4"/>
        <v>COMPLETO</v>
      </c>
    </row>
    <row r="51" spans="1:17" ht="22.8">
      <c r="A51" s="13">
        <v>30529</v>
      </c>
      <c r="B51" s="15">
        <v>1983</v>
      </c>
      <c r="C51" s="15">
        <v>8</v>
      </c>
      <c r="D51" s="15" t="s">
        <v>154</v>
      </c>
      <c r="E51" s="15" t="str">
        <f>'Hoja 1 - Área y fuentes'!C20</f>
        <v>Serie sintética de capacitación</v>
      </c>
      <c r="F51" s="15" t="str">
        <f>'Hoja 1 - Área y fuentes'!D20</f>
        <v>DID-001</v>
      </c>
      <c r="G51" s="12">
        <v>76.3</v>
      </c>
      <c r="H51" s="10" t="s">
        <v>56</v>
      </c>
      <c r="I51" s="10" t="s">
        <v>50</v>
      </c>
      <c r="J51" s="15" t="str">
        <f>'Hoja 1 - Área y fuentes'!M20</f>
        <v>Sustituir por IDEAM u otra fuente oficial</v>
      </c>
      <c r="K51" s="10" t="s">
        <v>165</v>
      </c>
      <c r="L51" s="15" t="str">
        <f>IF(G51="","FALTANTE",IF(G51&lt;0,"NEGATIVO",IF(H51&lt;&gt;"mm","UNIDAD",IF(COUNTIF($A$20:A51,A51)&gt;1,"DUPLICADO","OK"))))</f>
        <v>OK</v>
      </c>
      <c r="N51" s="9">
        <v>2008</v>
      </c>
      <c r="O51" s="18">
        <f t="shared" si="2"/>
        <v>1168.5999999999999</v>
      </c>
      <c r="P51" s="15">
        <f t="shared" si="3"/>
        <v>12</v>
      </c>
      <c r="Q51" s="15" t="str">
        <f t="shared" si="4"/>
        <v>COMPLETO</v>
      </c>
    </row>
    <row r="52" spans="1:17" ht="22.8">
      <c r="A52" s="13">
        <v>30560</v>
      </c>
      <c r="B52" s="15">
        <v>1983</v>
      </c>
      <c r="C52" s="15">
        <v>9</v>
      </c>
      <c r="D52" s="15" t="s">
        <v>155</v>
      </c>
      <c r="E52" s="15" t="str">
        <f>'Hoja 1 - Área y fuentes'!C20</f>
        <v>Serie sintética de capacitación</v>
      </c>
      <c r="F52" s="15" t="str">
        <f>'Hoja 1 - Área y fuentes'!D20</f>
        <v>DID-001</v>
      </c>
      <c r="G52" s="12">
        <v>127.1</v>
      </c>
      <c r="H52" s="10" t="s">
        <v>56</v>
      </c>
      <c r="I52" s="10" t="s">
        <v>50</v>
      </c>
      <c r="J52" s="15" t="str">
        <f>'Hoja 1 - Área y fuentes'!M20</f>
        <v>Sustituir por IDEAM u otra fuente oficial</v>
      </c>
      <c r="K52" s="10" t="s">
        <v>165</v>
      </c>
      <c r="L52" s="15" t="str">
        <f>IF(G52="","FALTANTE",IF(G52&lt;0,"NEGATIVO",IF(H52&lt;&gt;"mm","UNIDAD",IF(COUNTIF($A$20:A52,A52)&gt;1,"DUPLICADO","OK"))))</f>
        <v>OK</v>
      </c>
      <c r="N52" s="9">
        <v>2009</v>
      </c>
      <c r="O52" s="18">
        <f t="shared" si="2"/>
        <v>1147.8</v>
      </c>
      <c r="P52" s="15">
        <f t="shared" si="3"/>
        <v>12</v>
      </c>
      <c r="Q52" s="15" t="str">
        <f t="shared" si="4"/>
        <v>COMPLETO</v>
      </c>
    </row>
    <row r="53" spans="1:17" ht="22.8">
      <c r="A53" s="13">
        <v>30590</v>
      </c>
      <c r="B53" s="15">
        <v>1983</v>
      </c>
      <c r="C53" s="15">
        <v>10</v>
      </c>
      <c r="D53" s="15" t="s">
        <v>157</v>
      </c>
      <c r="E53" s="15" t="str">
        <f>'Hoja 1 - Área y fuentes'!C20</f>
        <v>Serie sintética de capacitación</v>
      </c>
      <c r="F53" s="15" t="str">
        <f>'Hoja 1 - Área y fuentes'!D20</f>
        <v>DID-001</v>
      </c>
      <c r="G53" s="12">
        <v>175.5</v>
      </c>
      <c r="H53" s="10" t="s">
        <v>56</v>
      </c>
      <c r="I53" s="10" t="s">
        <v>50</v>
      </c>
      <c r="J53" s="15" t="str">
        <f>'Hoja 1 - Área y fuentes'!M20</f>
        <v>Sustituir por IDEAM u otra fuente oficial</v>
      </c>
      <c r="K53" s="10" t="s">
        <v>165</v>
      </c>
      <c r="L53" s="15" t="str">
        <f>IF(G53="","FALTANTE",IF(G53&lt;0,"NEGATIVO",IF(H53&lt;&gt;"mm","UNIDAD",IF(COUNTIF($A$20:A53,A53)&gt;1,"DUPLICADO","OK"))))</f>
        <v>OK</v>
      </c>
      <c r="N53" s="9">
        <v>2010</v>
      </c>
      <c r="O53" s="18">
        <f t="shared" si="2"/>
        <v>1307.5000000000002</v>
      </c>
      <c r="P53" s="15">
        <f t="shared" si="3"/>
        <v>12</v>
      </c>
      <c r="Q53" s="15" t="str">
        <f t="shared" si="4"/>
        <v>COMPLETO</v>
      </c>
    </row>
    <row r="54" spans="1:17" ht="22.8">
      <c r="A54" s="13">
        <v>30621</v>
      </c>
      <c r="B54" s="15">
        <v>1983</v>
      </c>
      <c r="C54" s="15">
        <v>11</v>
      </c>
      <c r="D54" s="15" t="s">
        <v>158</v>
      </c>
      <c r="E54" s="15" t="str">
        <f>'Hoja 1 - Área y fuentes'!C20</f>
        <v>Serie sintética de capacitación</v>
      </c>
      <c r="F54" s="15" t="str">
        <f>'Hoja 1 - Área y fuentes'!D20</f>
        <v>DID-001</v>
      </c>
      <c r="G54" s="12">
        <v>146.80000000000001</v>
      </c>
      <c r="H54" s="10" t="s">
        <v>56</v>
      </c>
      <c r="I54" s="10" t="s">
        <v>50</v>
      </c>
      <c r="J54" s="15" t="str">
        <f>'Hoja 1 - Área y fuentes'!M20</f>
        <v>Sustituir por IDEAM u otra fuente oficial</v>
      </c>
      <c r="K54" s="10" t="s">
        <v>165</v>
      </c>
      <c r="L54" s="15" t="str">
        <f>IF(G54="","FALTANTE",IF(G54&lt;0,"NEGATIVO",IF(H54&lt;&gt;"mm","UNIDAD",IF(COUNTIF($A$20:A54,A54)&gt;1,"DUPLICADO","OK"))))</f>
        <v>OK</v>
      </c>
    </row>
    <row r="55" spans="1:17" ht="22.8">
      <c r="A55" s="13">
        <v>30651</v>
      </c>
      <c r="B55" s="15">
        <v>1983</v>
      </c>
      <c r="C55" s="15">
        <v>12</v>
      </c>
      <c r="D55" s="15" t="s">
        <v>164</v>
      </c>
      <c r="E55" s="15" t="str">
        <f>'Hoja 1 - Área y fuentes'!C20</f>
        <v>Serie sintética de capacitación</v>
      </c>
      <c r="F55" s="15" t="str">
        <f>'Hoja 1 - Área y fuentes'!D20</f>
        <v>DID-001</v>
      </c>
      <c r="G55" s="12">
        <v>83.3</v>
      </c>
      <c r="H55" s="10" t="s">
        <v>56</v>
      </c>
      <c r="I55" s="10" t="s">
        <v>50</v>
      </c>
      <c r="J55" s="15" t="str">
        <f>'Hoja 1 - Área y fuentes'!M20</f>
        <v>Sustituir por IDEAM u otra fuente oficial</v>
      </c>
      <c r="K55" s="10" t="s">
        <v>165</v>
      </c>
      <c r="L55" s="15" t="str">
        <f>IF(G55="","FALTANTE",IF(G55&lt;0,"NEGATIVO",IF(H55&lt;&gt;"mm","UNIDAD",IF(COUNTIF($A$20:A55,A55)&gt;1,"DUPLICADO","OK"))))</f>
        <v>OK</v>
      </c>
    </row>
    <row r="56" spans="1:17" ht="22.8">
      <c r="A56" s="13">
        <v>30682</v>
      </c>
      <c r="B56" s="15">
        <v>1984</v>
      </c>
      <c r="C56" s="15">
        <v>1</v>
      </c>
      <c r="D56" s="15" t="s">
        <v>134</v>
      </c>
      <c r="E56" s="15" t="str">
        <f>'Hoja 1 - Área y fuentes'!C20</f>
        <v>Serie sintética de capacitación</v>
      </c>
      <c r="F56" s="15" t="str">
        <f>'Hoja 1 - Área y fuentes'!D20</f>
        <v>DID-001</v>
      </c>
      <c r="G56" s="12">
        <v>57.1</v>
      </c>
      <c r="H56" s="10" t="s">
        <v>56</v>
      </c>
      <c r="I56" s="10" t="s">
        <v>50</v>
      </c>
      <c r="J56" s="15" t="str">
        <f>'Hoja 1 - Área y fuentes'!M20</f>
        <v>Sustituir por IDEAM u otra fuente oficial</v>
      </c>
      <c r="K56" s="10" t="s">
        <v>165</v>
      </c>
      <c r="L56" s="15" t="str">
        <f>IF(G56="","FALTANTE",IF(G56&lt;0,"NEGATIVO",IF(H56&lt;&gt;"mm","UNIDAD",IF(COUNTIF($A$20:A56,A56)&gt;1,"DUPLICADO","OK"))))</f>
        <v>OK</v>
      </c>
    </row>
    <row r="57" spans="1:17" ht="22.8">
      <c r="A57" s="13">
        <v>30713</v>
      </c>
      <c r="B57" s="15">
        <v>1984</v>
      </c>
      <c r="C57" s="15">
        <v>2</v>
      </c>
      <c r="D57" s="15" t="s">
        <v>141</v>
      </c>
      <c r="E57" s="15" t="str">
        <f>'Hoja 1 - Área y fuentes'!C20</f>
        <v>Serie sintética de capacitación</v>
      </c>
      <c r="F57" s="15" t="str">
        <f>'Hoja 1 - Área y fuentes'!D20</f>
        <v>DID-001</v>
      </c>
      <c r="G57" s="12">
        <v>68.2</v>
      </c>
      <c r="H57" s="10" t="s">
        <v>56</v>
      </c>
      <c r="I57" s="10" t="s">
        <v>50</v>
      </c>
      <c r="J57" s="15" t="str">
        <f>'Hoja 1 - Área y fuentes'!M20</f>
        <v>Sustituir por IDEAM u otra fuente oficial</v>
      </c>
      <c r="K57" s="10" t="s">
        <v>165</v>
      </c>
      <c r="L57" s="15" t="str">
        <f>IF(G57="","FALTANTE",IF(G57&lt;0,"NEGATIVO",IF(H57&lt;&gt;"mm","UNIDAD",IF(COUNTIF($A$20:A57,A57)&gt;1,"DUPLICADO","OK"))))</f>
        <v>OK</v>
      </c>
    </row>
    <row r="58" spans="1:17" ht="22.8">
      <c r="A58" s="13">
        <v>30742</v>
      </c>
      <c r="B58" s="15">
        <v>1984</v>
      </c>
      <c r="C58" s="15">
        <v>3</v>
      </c>
      <c r="D58" s="15" t="s">
        <v>148</v>
      </c>
      <c r="E58" s="15" t="str">
        <f>'Hoja 1 - Área y fuentes'!C20</f>
        <v>Serie sintética de capacitación</v>
      </c>
      <c r="F58" s="15" t="str">
        <f>'Hoja 1 - Área y fuentes'!D20</f>
        <v>DID-001</v>
      </c>
      <c r="G58" s="12">
        <v>106</v>
      </c>
      <c r="H58" s="10" t="s">
        <v>56</v>
      </c>
      <c r="I58" s="10" t="s">
        <v>50</v>
      </c>
      <c r="J58" s="15" t="str">
        <f>'Hoja 1 - Área y fuentes'!M20</f>
        <v>Sustituir por IDEAM u otra fuente oficial</v>
      </c>
      <c r="K58" s="10" t="s">
        <v>165</v>
      </c>
      <c r="L58" s="15" t="str">
        <f>IF(G58="","FALTANTE",IF(G58&lt;0,"NEGATIVO",IF(H58&lt;&gt;"mm","UNIDAD",IF(COUNTIF($A$20:A58,A58)&gt;1,"DUPLICADO","OK"))))</f>
        <v>OK</v>
      </c>
    </row>
    <row r="59" spans="1:17" ht="22.8">
      <c r="A59" s="13">
        <v>30773</v>
      </c>
      <c r="B59" s="15">
        <v>1984</v>
      </c>
      <c r="C59" s="15">
        <v>4</v>
      </c>
      <c r="D59" s="15" t="s">
        <v>149</v>
      </c>
      <c r="E59" s="15" t="str">
        <f>'Hoja 1 - Área y fuentes'!C20</f>
        <v>Serie sintética de capacitación</v>
      </c>
      <c r="F59" s="15" t="str">
        <f>'Hoja 1 - Área y fuentes'!D20</f>
        <v>DID-001</v>
      </c>
      <c r="G59" s="12">
        <v>146</v>
      </c>
      <c r="H59" s="10" t="s">
        <v>56</v>
      </c>
      <c r="I59" s="10" t="s">
        <v>50</v>
      </c>
      <c r="J59" s="15" t="str">
        <f>'Hoja 1 - Área y fuentes'!M20</f>
        <v>Sustituir por IDEAM u otra fuente oficial</v>
      </c>
      <c r="K59" s="10" t="s">
        <v>165</v>
      </c>
      <c r="L59" s="15" t="str">
        <f>IF(G59="","FALTANTE",IF(G59&lt;0,"NEGATIVO",IF(H59&lt;&gt;"mm","UNIDAD",IF(COUNTIF($A$20:A59,A59)&gt;1,"DUPLICADO","OK"))))</f>
        <v>OK</v>
      </c>
    </row>
    <row r="60" spans="1:17" ht="22.8">
      <c r="A60" s="13">
        <v>30803</v>
      </c>
      <c r="B60" s="15">
        <v>1984</v>
      </c>
      <c r="C60" s="15">
        <v>5</v>
      </c>
      <c r="D60" s="15" t="s">
        <v>151</v>
      </c>
      <c r="E60" s="15" t="str">
        <f>'Hoja 1 - Área y fuentes'!C20</f>
        <v>Serie sintética de capacitación</v>
      </c>
      <c r="F60" s="15" t="str">
        <f>'Hoja 1 - Área y fuentes'!D20</f>
        <v>DID-001</v>
      </c>
      <c r="G60" s="12">
        <v>123.7</v>
      </c>
      <c r="H60" s="10" t="s">
        <v>56</v>
      </c>
      <c r="I60" s="10" t="s">
        <v>50</v>
      </c>
      <c r="J60" s="15" t="str">
        <f>'Hoja 1 - Área y fuentes'!M20</f>
        <v>Sustituir por IDEAM u otra fuente oficial</v>
      </c>
      <c r="K60" s="10" t="s">
        <v>165</v>
      </c>
      <c r="L60" s="15" t="str">
        <f>IF(G60="","FALTANTE",IF(G60&lt;0,"NEGATIVO",IF(H60&lt;&gt;"mm","UNIDAD",IF(COUNTIF($A$20:A60,A60)&gt;1,"DUPLICADO","OK"))))</f>
        <v>OK</v>
      </c>
    </row>
    <row r="61" spans="1:17" ht="22.8">
      <c r="A61" s="13">
        <v>30834</v>
      </c>
      <c r="B61" s="15">
        <v>1984</v>
      </c>
      <c r="C61" s="15">
        <v>6</v>
      </c>
      <c r="D61" s="15" t="s">
        <v>152</v>
      </c>
      <c r="E61" s="15" t="str">
        <f>'Hoja 1 - Área y fuentes'!C20</f>
        <v>Serie sintética de capacitación</v>
      </c>
      <c r="F61" s="15" t="str">
        <f>'Hoja 1 - Área y fuentes'!D20</f>
        <v>DID-001</v>
      </c>
      <c r="G61" s="12">
        <v>76.099999999999994</v>
      </c>
      <c r="H61" s="10" t="s">
        <v>56</v>
      </c>
      <c r="I61" s="10" t="s">
        <v>50</v>
      </c>
      <c r="J61" s="15" t="str">
        <f>'Hoja 1 - Área y fuentes'!M20</f>
        <v>Sustituir por IDEAM u otra fuente oficial</v>
      </c>
      <c r="K61" s="10" t="s">
        <v>165</v>
      </c>
      <c r="L61" s="15" t="str">
        <f>IF(G61="","FALTANTE",IF(G61&lt;0,"NEGATIVO",IF(H61&lt;&gt;"mm","UNIDAD",IF(COUNTIF($A$20:A61,A61)&gt;1,"DUPLICADO","OK"))))</f>
        <v>OK</v>
      </c>
    </row>
    <row r="62" spans="1:17" ht="22.8">
      <c r="A62" s="13">
        <v>30864</v>
      </c>
      <c r="B62" s="15">
        <v>1984</v>
      </c>
      <c r="C62" s="15">
        <v>7</v>
      </c>
      <c r="D62" s="15" t="s">
        <v>153</v>
      </c>
      <c r="E62" s="15" t="str">
        <f>'Hoja 1 - Área y fuentes'!C20</f>
        <v>Serie sintética de capacitación</v>
      </c>
      <c r="F62" s="15" t="str">
        <f>'Hoja 1 - Área y fuentes'!D20</f>
        <v>DID-001</v>
      </c>
      <c r="G62" s="12">
        <v>66.900000000000006</v>
      </c>
      <c r="H62" s="10" t="s">
        <v>56</v>
      </c>
      <c r="I62" s="10" t="s">
        <v>50</v>
      </c>
      <c r="J62" s="15" t="str">
        <f>'Hoja 1 - Área y fuentes'!M20</f>
        <v>Sustituir por IDEAM u otra fuente oficial</v>
      </c>
      <c r="K62" s="10" t="s">
        <v>165</v>
      </c>
      <c r="L62" s="15" t="str">
        <f>IF(G62="","FALTANTE",IF(G62&lt;0,"NEGATIVO",IF(H62&lt;&gt;"mm","UNIDAD",IF(COUNTIF($A$20:A62,A62)&gt;1,"DUPLICADO","OK"))))</f>
        <v>OK</v>
      </c>
    </row>
    <row r="63" spans="1:17" ht="22.8">
      <c r="A63" s="13">
        <v>30895</v>
      </c>
      <c r="B63" s="15">
        <v>1984</v>
      </c>
      <c r="C63" s="15">
        <v>8</v>
      </c>
      <c r="D63" s="15" t="s">
        <v>154</v>
      </c>
      <c r="E63" s="15" t="str">
        <f>'Hoja 1 - Área y fuentes'!C20</f>
        <v>Serie sintética de capacitación</v>
      </c>
      <c r="F63" s="15" t="str">
        <f>'Hoja 1 - Área y fuentes'!D20</f>
        <v>DID-001</v>
      </c>
      <c r="G63" s="12">
        <v>71.599999999999994</v>
      </c>
      <c r="H63" s="10" t="s">
        <v>56</v>
      </c>
      <c r="I63" s="10" t="s">
        <v>50</v>
      </c>
      <c r="J63" s="15" t="str">
        <f>'Hoja 1 - Área y fuentes'!M20</f>
        <v>Sustituir por IDEAM u otra fuente oficial</v>
      </c>
      <c r="K63" s="10" t="s">
        <v>165</v>
      </c>
      <c r="L63" s="15" t="str">
        <f>IF(G63="","FALTANTE",IF(G63&lt;0,"NEGATIVO",IF(H63&lt;&gt;"mm","UNIDAD",IF(COUNTIF($A$20:A63,A63)&gt;1,"DUPLICADO","OK"))))</f>
        <v>OK</v>
      </c>
    </row>
    <row r="64" spans="1:17" ht="22.8">
      <c r="A64" s="13">
        <v>30926</v>
      </c>
      <c r="B64" s="15">
        <v>1984</v>
      </c>
      <c r="C64" s="15">
        <v>9</v>
      </c>
      <c r="D64" s="15" t="s">
        <v>155</v>
      </c>
      <c r="E64" s="15" t="str">
        <f>'Hoja 1 - Área y fuentes'!C20</f>
        <v>Serie sintética de capacitación</v>
      </c>
      <c r="F64" s="15" t="str">
        <f>'Hoja 1 - Área y fuentes'!D20</f>
        <v>DID-001</v>
      </c>
      <c r="G64" s="12">
        <v>107.3</v>
      </c>
      <c r="H64" s="10" t="s">
        <v>56</v>
      </c>
      <c r="I64" s="10" t="s">
        <v>50</v>
      </c>
      <c r="J64" s="15" t="str">
        <f>'Hoja 1 - Área y fuentes'!M20</f>
        <v>Sustituir por IDEAM u otra fuente oficial</v>
      </c>
      <c r="K64" s="10" t="s">
        <v>165</v>
      </c>
      <c r="L64" s="15" t="str">
        <f>IF(G64="","FALTANTE",IF(G64&lt;0,"NEGATIVO",IF(H64&lt;&gt;"mm","UNIDAD",IF(COUNTIF($A$20:A64,A64)&gt;1,"DUPLICADO","OK"))))</f>
        <v>OK</v>
      </c>
    </row>
    <row r="65" spans="1:12" ht="22.8">
      <c r="A65" s="13">
        <v>30956</v>
      </c>
      <c r="B65" s="15">
        <v>1984</v>
      </c>
      <c r="C65" s="15">
        <v>10</v>
      </c>
      <c r="D65" s="15" t="s">
        <v>157</v>
      </c>
      <c r="E65" s="15" t="str">
        <f>'Hoja 1 - Área y fuentes'!C20</f>
        <v>Serie sintética de capacitación</v>
      </c>
      <c r="F65" s="15" t="str">
        <f>'Hoja 1 - Área y fuentes'!D20</f>
        <v>DID-001</v>
      </c>
      <c r="G65" s="12">
        <v>141.5</v>
      </c>
      <c r="H65" s="10" t="s">
        <v>56</v>
      </c>
      <c r="I65" s="10" t="s">
        <v>50</v>
      </c>
      <c r="J65" s="15" t="str">
        <f>'Hoja 1 - Área y fuentes'!M20</f>
        <v>Sustituir por IDEAM u otra fuente oficial</v>
      </c>
      <c r="K65" s="10" t="s">
        <v>165</v>
      </c>
      <c r="L65" s="15" t="str">
        <f>IF(G65="","FALTANTE",IF(G65&lt;0,"NEGATIVO",IF(H65&lt;&gt;"mm","UNIDAD",IF(COUNTIF($A$20:A65,A65)&gt;1,"DUPLICADO","OK"))))</f>
        <v>OK</v>
      </c>
    </row>
    <row r="66" spans="1:12" ht="22.8">
      <c r="A66" s="13">
        <v>30987</v>
      </c>
      <c r="B66" s="15">
        <v>1984</v>
      </c>
      <c r="C66" s="15">
        <v>11</v>
      </c>
      <c r="D66" s="15" t="s">
        <v>158</v>
      </c>
      <c r="E66" s="15" t="str">
        <f>'Hoja 1 - Área y fuentes'!C20</f>
        <v>Serie sintética de capacitación</v>
      </c>
      <c r="F66" s="15" t="str">
        <f>'Hoja 1 - Área y fuentes'!D20</f>
        <v>DID-001</v>
      </c>
      <c r="G66" s="12">
        <v>127.3</v>
      </c>
      <c r="H66" s="10" t="s">
        <v>56</v>
      </c>
      <c r="I66" s="10" t="s">
        <v>50</v>
      </c>
      <c r="J66" s="15" t="str">
        <f>'Hoja 1 - Área y fuentes'!M20</f>
        <v>Sustituir por IDEAM u otra fuente oficial</v>
      </c>
      <c r="K66" s="10" t="s">
        <v>165</v>
      </c>
      <c r="L66" s="15" t="str">
        <f>IF(G66="","FALTANTE",IF(G66&lt;0,"NEGATIVO",IF(H66&lt;&gt;"mm","UNIDAD",IF(COUNTIF($A$20:A66,A66)&gt;1,"DUPLICADO","OK"))))</f>
        <v>OK</v>
      </c>
    </row>
    <row r="67" spans="1:12" ht="22.8">
      <c r="A67" s="13">
        <v>31017</v>
      </c>
      <c r="B67" s="15">
        <v>1984</v>
      </c>
      <c r="C67" s="15">
        <v>12</v>
      </c>
      <c r="D67" s="15" t="s">
        <v>164</v>
      </c>
      <c r="E67" s="15" t="str">
        <f>'Hoja 1 - Área y fuentes'!C20</f>
        <v>Serie sintética de capacitación</v>
      </c>
      <c r="F67" s="15" t="str">
        <f>'Hoja 1 - Área y fuentes'!D20</f>
        <v>DID-001</v>
      </c>
      <c r="G67" s="12">
        <v>77.099999999999994</v>
      </c>
      <c r="H67" s="10" t="s">
        <v>56</v>
      </c>
      <c r="I67" s="10" t="s">
        <v>50</v>
      </c>
      <c r="J67" s="15" t="str">
        <f>'Hoja 1 - Área y fuentes'!M20</f>
        <v>Sustituir por IDEAM u otra fuente oficial</v>
      </c>
      <c r="K67" s="10" t="s">
        <v>165</v>
      </c>
      <c r="L67" s="15" t="str">
        <f>IF(G67="","FALTANTE",IF(G67&lt;0,"NEGATIVO",IF(H67&lt;&gt;"mm","UNIDAD",IF(COUNTIF($A$20:A67,A67)&gt;1,"DUPLICADO","OK"))))</f>
        <v>OK</v>
      </c>
    </row>
    <row r="68" spans="1:12" ht="22.8">
      <c r="A68" s="13">
        <v>31048</v>
      </c>
      <c r="B68" s="15">
        <v>1985</v>
      </c>
      <c r="C68" s="15">
        <v>1</v>
      </c>
      <c r="D68" s="15" t="s">
        <v>134</v>
      </c>
      <c r="E68" s="15" t="str">
        <f>'Hoja 1 - Área y fuentes'!C20</f>
        <v>Serie sintética de capacitación</v>
      </c>
      <c r="F68" s="15" t="str">
        <f>'Hoja 1 - Área y fuentes'!D20</f>
        <v>DID-001</v>
      </c>
      <c r="G68" s="12">
        <v>56.3</v>
      </c>
      <c r="H68" s="10" t="s">
        <v>56</v>
      </c>
      <c r="I68" s="10" t="s">
        <v>50</v>
      </c>
      <c r="J68" s="15" t="str">
        <f>'Hoja 1 - Área y fuentes'!M20</f>
        <v>Sustituir por IDEAM u otra fuente oficial</v>
      </c>
      <c r="K68" s="10" t="s">
        <v>165</v>
      </c>
      <c r="L68" s="15" t="str">
        <f>IF(G68="","FALTANTE",IF(G68&lt;0,"NEGATIVO",IF(H68&lt;&gt;"mm","UNIDAD",IF(COUNTIF($A$20:A68,A68)&gt;1,"DUPLICADO","OK"))))</f>
        <v>OK</v>
      </c>
    </row>
    <row r="69" spans="1:12" ht="22.8">
      <c r="A69" s="13">
        <v>31079</v>
      </c>
      <c r="B69" s="15">
        <v>1985</v>
      </c>
      <c r="C69" s="15">
        <v>2</v>
      </c>
      <c r="D69" s="15" t="s">
        <v>141</v>
      </c>
      <c r="E69" s="15" t="str">
        <f>'Hoja 1 - Área y fuentes'!C20</f>
        <v>Serie sintética de capacitación</v>
      </c>
      <c r="F69" s="15" t="str">
        <f>'Hoja 1 - Área y fuentes'!D20</f>
        <v>DID-001</v>
      </c>
      <c r="G69" s="12">
        <v>70.400000000000006</v>
      </c>
      <c r="H69" s="10" t="s">
        <v>56</v>
      </c>
      <c r="I69" s="10" t="s">
        <v>50</v>
      </c>
      <c r="J69" s="15" t="str">
        <f>'Hoja 1 - Área y fuentes'!M20</f>
        <v>Sustituir por IDEAM u otra fuente oficial</v>
      </c>
      <c r="K69" s="10" t="s">
        <v>165</v>
      </c>
      <c r="L69" s="15" t="str">
        <f>IF(G69="","FALTANTE",IF(G69&lt;0,"NEGATIVO",IF(H69&lt;&gt;"mm","UNIDAD",IF(COUNTIF($A$20:A69,A69)&gt;1,"DUPLICADO","OK"))))</f>
        <v>OK</v>
      </c>
    </row>
    <row r="70" spans="1:12" ht="22.8">
      <c r="A70" s="13">
        <v>31107</v>
      </c>
      <c r="B70" s="15">
        <v>1985</v>
      </c>
      <c r="C70" s="15">
        <v>3</v>
      </c>
      <c r="D70" s="15" t="s">
        <v>148</v>
      </c>
      <c r="E70" s="15" t="str">
        <f>'Hoja 1 - Área y fuentes'!C20</f>
        <v>Serie sintética de capacitación</v>
      </c>
      <c r="F70" s="15" t="str">
        <f>'Hoja 1 - Área y fuentes'!D20</f>
        <v>DID-001</v>
      </c>
      <c r="G70" s="12">
        <v>101.7</v>
      </c>
      <c r="H70" s="10" t="s">
        <v>56</v>
      </c>
      <c r="I70" s="10" t="s">
        <v>50</v>
      </c>
      <c r="J70" s="15" t="str">
        <f>'Hoja 1 - Área y fuentes'!M20</f>
        <v>Sustituir por IDEAM u otra fuente oficial</v>
      </c>
      <c r="K70" s="10" t="s">
        <v>165</v>
      </c>
      <c r="L70" s="15" t="str">
        <f>IF(G70="","FALTANTE",IF(G70&lt;0,"NEGATIVO",IF(H70&lt;&gt;"mm","UNIDAD",IF(COUNTIF($A$20:A70,A70)&gt;1,"DUPLICADO","OK"))))</f>
        <v>OK</v>
      </c>
    </row>
    <row r="71" spans="1:12" ht="22.8">
      <c r="A71" s="13">
        <v>31138</v>
      </c>
      <c r="B71" s="15">
        <v>1985</v>
      </c>
      <c r="C71" s="15">
        <v>4</v>
      </c>
      <c r="D71" s="15" t="s">
        <v>149</v>
      </c>
      <c r="E71" s="15" t="str">
        <f>'Hoja 1 - Área y fuentes'!C20</f>
        <v>Serie sintética de capacitación</v>
      </c>
      <c r="F71" s="15" t="str">
        <f>'Hoja 1 - Área y fuentes'!D20</f>
        <v>DID-001</v>
      </c>
      <c r="G71" s="12">
        <v>133.4</v>
      </c>
      <c r="H71" s="10" t="s">
        <v>56</v>
      </c>
      <c r="I71" s="10" t="s">
        <v>50</v>
      </c>
      <c r="J71" s="15" t="str">
        <f>'Hoja 1 - Área y fuentes'!M20</f>
        <v>Sustituir por IDEAM u otra fuente oficial</v>
      </c>
      <c r="K71" s="10" t="s">
        <v>165</v>
      </c>
      <c r="L71" s="15" t="str">
        <f>IF(G71="","FALTANTE",IF(G71&lt;0,"NEGATIVO",IF(H71&lt;&gt;"mm","UNIDAD",IF(COUNTIF($A$20:A71,A71)&gt;1,"DUPLICADO","OK"))))</f>
        <v>OK</v>
      </c>
    </row>
    <row r="72" spans="1:12" ht="22.8">
      <c r="A72" s="13">
        <v>31168</v>
      </c>
      <c r="B72" s="15">
        <v>1985</v>
      </c>
      <c r="C72" s="15">
        <v>5</v>
      </c>
      <c r="D72" s="15" t="s">
        <v>151</v>
      </c>
      <c r="E72" s="15" t="str">
        <f>'Hoja 1 - Área y fuentes'!C20</f>
        <v>Serie sintética de capacitación</v>
      </c>
      <c r="F72" s="15" t="str">
        <f>'Hoja 1 - Área y fuentes'!D20</f>
        <v>DID-001</v>
      </c>
      <c r="G72" s="12">
        <v>127.4</v>
      </c>
      <c r="H72" s="10" t="s">
        <v>56</v>
      </c>
      <c r="I72" s="10" t="s">
        <v>50</v>
      </c>
      <c r="J72" s="15" t="str">
        <f>'Hoja 1 - Área y fuentes'!M20</f>
        <v>Sustituir por IDEAM u otra fuente oficial</v>
      </c>
      <c r="K72" s="10" t="s">
        <v>165</v>
      </c>
      <c r="L72" s="15" t="str">
        <f>IF(G72="","FALTANTE",IF(G72&lt;0,"NEGATIVO",IF(H72&lt;&gt;"mm","UNIDAD",IF(COUNTIF($A$20:A72,A72)&gt;1,"DUPLICADO","OK"))))</f>
        <v>OK</v>
      </c>
    </row>
    <row r="73" spans="1:12" ht="22.8">
      <c r="A73" s="13">
        <v>31199</v>
      </c>
      <c r="B73" s="15">
        <v>1985</v>
      </c>
      <c r="C73" s="15">
        <v>6</v>
      </c>
      <c r="D73" s="15" t="s">
        <v>152</v>
      </c>
      <c r="E73" s="15" t="str">
        <f>'Hoja 1 - Área y fuentes'!C20</f>
        <v>Serie sintética de capacitación</v>
      </c>
      <c r="F73" s="15" t="str">
        <f>'Hoja 1 - Área y fuentes'!D20</f>
        <v>DID-001</v>
      </c>
      <c r="G73" s="12">
        <v>80.5</v>
      </c>
      <c r="H73" s="10" t="s">
        <v>56</v>
      </c>
      <c r="I73" s="10" t="s">
        <v>50</v>
      </c>
      <c r="J73" s="15" t="str">
        <f>'Hoja 1 - Área y fuentes'!M20</f>
        <v>Sustituir por IDEAM u otra fuente oficial</v>
      </c>
      <c r="K73" s="10" t="s">
        <v>165</v>
      </c>
      <c r="L73" s="15" t="str">
        <f>IF(G73="","FALTANTE",IF(G73&lt;0,"NEGATIVO",IF(H73&lt;&gt;"mm","UNIDAD",IF(COUNTIF($A$20:A73,A73)&gt;1,"DUPLICADO","OK"))))</f>
        <v>OK</v>
      </c>
    </row>
    <row r="74" spans="1:12" ht="22.8">
      <c r="A74" s="13">
        <v>31229</v>
      </c>
      <c r="B74" s="15">
        <v>1985</v>
      </c>
      <c r="C74" s="15">
        <v>7</v>
      </c>
      <c r="D74" s="15" t="s">
        <v>153</v>
      </c>
      <c r="E74" s="15" t="str">
        <f>'Hoja 1 - Área y fuentes'!C20</f>
        <v>Serie sintética de capacitación</v>
      </c>
      <c r="F74" s="15" t="str">
        <f>'Hoja 1 - Área y fuentes'!D20</f>
        <v>DID-001</v>
      </c>
      <c r="G74" s="12">
        <v>61.4</v>
      </c>
      <c r="H74" s="10" t="s">
        <v>56</v>
      </c>
      <c r="I74" s="10" t="s">
        <v>50</v>
      </c>
      <c r="J74" s="15" t="str">
        <f>'Hoja 1 - Área y fuentes'!M20</f>
        <v>Sustituir por IDEAM u otra fuente oficial</v>
      </c>
      <c r="K74" s="10" t="s">
        <v>165</v>
      </c>
      <c r="L74" s="15" t="str">
        <f>IF(G74="","FALTANTE",IF(G74&lt;0,"NEGATIVO",IF(H74&lt;&gt;"mm","UNIDAD",IF(COUNTIF($A$20:A74,A74)&gt;1,"DUPLICADO","OK"))))</f>
        <v>OK</v>
      </c>
    </row>
    <row r="75" spans="1:12" ht="22.8">
      <c r="A75" s="13">
        <v>31260</v>
      </c>
      <c r="B75" s="15">
        <v>1985</v>
      </c>
      <c r="C75" s="15">
        <v>8</v>
      </c>
      <c r="D75" s="15" t="s">
        <v>154</v>
      </c>
      <c r="E75" s="15" t="str">
        <f>'Hoja 1 - Área y fuentes'!C20</f>
        <v>Serie sintética de capacitación</v>
      </c>
      <c r="F75" s="15" t="str">
        <f>'Hoja 1 - Área y fuentes'!D20</f>
        <v>DID-001</v>
      </c>
      <c r="G75" s="12">
        <v>65.900000000000006</v>
      </c>
      <c r="H75" s="10" t="s">
        <v>56</v>
      </c>
      <c r="I75" s="10" t="s">
        <v>50</v>
      </c>
      <c r="J75" s="15" t="str">
        <f>'Hoja 1 - Área y fuentes'!M20</f>
        <v>Sustituir por IDEAM u otra fuente oficial</v>
      </c>
      <c r="K75" s="10" t="s">
        <v>165</v>
      </c>
      <c r="L75" s="15" t="str">
        <f>IF(G75="","FALTANTE",IF(G75&lt;0,"NEGATIVO",IF(H75&lt;&gt;"mm","UNIDAD",IF(COUNTIF($A$20:A75,A75)&gt;1,"DUPLICADO","OK"))))</f>
        <v>OK</v>
      </c>
    </row>
    <row r="76" spans="1:12" ht="22.8">
      <c r="A76" s="13">
        <v>31291</v>
      </c>
      <c r="B76" s="15">
        <v>1985</v>
      </c>
      <c r="C76" s="15">
        <v>9</v>
      </c>
      <c r="D76" s="15" t="s">
        <v>155</v>
      </c>
      <c r="E76" s="15" t="str">
        <f>'Hoja 1 - Área y fuentes'!C20</f>
        <v>Serie sintética de capacitación</v>
      </c>
      <c r="F76" s="15" t="str">
        <f>'Hoja 1 - Área y fuentes'!D20</f>
        <v>DID-001</v>
      </c>
      <c r="G76" s="12">
        <v>113.7</v>
      </c>
      <c r="H76" s="10" t="s">
        <v>56</v>
      </c>
      <c r="I76" s="10" t="s">
        <v>50</v>
      </c>
      <c r="J76" s="15" t="str">
        <f>'Hoja 1 - Área y fuentes'!M20</f>
        <v>Sustituir por IDEAM u otra fuente oficial</v>
      </c>
      <c r="K76" s="10" t="s">
        <v>165</v>
      </c>
      <c r="L76" s="15" t="str">
        <f>IF(G76="","FALTANTE",IF(G76&lt;0,"NEGATIVO",IF(H76&lt;&gt;"mm","UNIDAD",IF(COUNTIF($A$20:A76,A76)&gt;1,"DUPLICADO","OK"))))</f>
        <v>OK</v>
      </c>
    </row>
    <row r="77" spans="1:12" ht="22.8">
      <c r="A77" s="13">
        <v>31321</v>
      </c>
      <c r="B77" s="15">
        <v>1985</v>
      </c>
      <c r="C77" s="15">
        <v>10</v>
      </c>
      <c r="D77" s="15" t="s">
        <v>157</v>
      </c>
      <c r="E77" s="15" t="str">
        <f>'Hoja 1 - Área y fuentes'!C20</f>
        <v>Serie sintética de capacitación</v>
      </c>
      <c r="F77" s="15" t="str">
        <f>'Hoja 1 - Área y fuentes'!D20</f>
        <v>DID-001</v>
      </c>
      <c r="G77" s="12">
        <v>145.30000000000001</v>
      </c>
      <c r="H77" s="10" t="s">
        <v>56</v>
      </c>
      <c r="I77" s="10" t="s">
        <v>50</v>
      </c>
      <c r="J77" s="15" t="str">
        <f>'Hoja 1 - Área y fuentes'!M20</f>
        <v>Sustituir por IDEAM u otra fuente oficial</v>
      </c>
      <c r="K77" s="10" t="s">
        <v>165</v>
      </c>
      <c r="L77" s="15" t="str">
        <f>IF(G77="","FALTANTE",IF(G77&lt;0,"NEGATIVO",IF(H77&lt;&gt;"mm","UNIDAD",IF(COUNTIF($A$20:A77,A77)&gt;1,"DUPLICADO","OK"))))</f>
        <v>OK</v>
      </c>
    </row>
    <row r="78" spans="1:12" ht="22.8">
      <c r="A78" s="13">
        <v>31352</v>
      </c>
      <c r="B78" s="15">
        <v>1985</v>
      </c>
      <c r="C78" s="15">
        <v>11</v>
      </c>
      <c r="D78" s="15" t="s">
        <v>158</v>
      </c>
      <c r="E78" s="15" t="str">
        <f>'Hoja 1 - Área y fuentes'!C20</f>
        <v>Serie sintética de capacitación</v>
      </c>
      <c r="F78" s="15" t="str">
        <f>'Hoja 1 - Área y fuentes'!D20</f>
        <v>DID-001</v>
      </c>
      <c r="G78" s="12">
        <v>116.2</v>
      </c>
      <c r="H78" s="10" t="s">
        <v>56</v>
      </c>
      <c r="I78" s="10" t="s">
        <v>50</v>
      </c>
      <c r="J78" s="15" t="str">
        <f>'Hoja 1 - Área y fuentes'!M20</f>
        <v>Sustituir por IDEAM u otra fuente oficial</v>
      </c>
      <c r="K78" s="10" t="s">
        <v>165</v>
      </c>
      <c r="L78" s="15" t="str">
        <f>IF(G78="","FALTANTE",IF(G78&lt;0,"NEGATIVO",IF(H78&lt;&gt;"mm","UNIDAD",IF(COUNTIF($A$20:A78,A78)&gt;1,"DUPLICADO","OK"))))</f>
        <v>OK</v>
      </c>
    </row>
    <row r="79" spans="1:12" ht="22.8">
      <c r="A79" s="13">
        <v>31382</v>
      </c>
      <c r="B79" s="15">
        <v>1985</v>
      </c>
      <c r="C79" s="15">
        <v>12</v>
      </c>
      <c r="D79" s="15" t="s">
        <v>164</v>
      </c>
      <c r="E79" s="15" t="str">
        <f>'Hoja 1 - Área y fuentes'!C20</f>
        <v>Serie sintética de capacitación</v>
      </c>
      <c r="F79" s="15" t="str">
        <f>'Hoja 1 - Área y fuentes'!D20</f>
        <v>DID-001</v>
      </c>
      <c r="G79" s="12">
        <v>74.099999999999994</v>
      </c>
      <c r="H79" s="10" t="s">
        <v>56</v>
      </c>
      <c r="I79" s="10" t="s">
        <v>50</v>
      </c>
      <c r="J79" s="15" t="str">
        <f>'Hoja 1 - Área y fuentes'!M20</f>
        <v>Sustituir por IDEAM u otra fuente oficial</v>
      </c>
      <c r="K79" s="10" t="s">
        <v>165</v>
      </c>
      <c r="L79" s="15" t="str">
        <f>IF(G79="","FALTANTE",IF(G79&lt;0,"NEGATIVO",IF(H79&lt;&gt;"mm","UNIDAD",IF(COUNTIF($A$20:A79,A79)&gt;1,"DUPLICADO","OK"))))</f>
        <v>OK</v>
      </c>
    </row>
    <row r="80" spans="1:12" ht="22.8">
      <c r="A80" s="13">
        <v>31413</v>
      </c>
      <c r="B80" s="15">
        <v>1986</v>
      </c>
      <c r="C80" s="15">
        <v>1</v>
      </c>
      <c r="D80" s="15" t="s">
        <v>134</v>
      </c>
      <c r="E80" s="15" t="str">
        <f>'Hoja 1 - Área y fuentes'!C20</f>
        <v>Serie sintética de capacitación</v>
      </c>
      <c r="F80" s="15" t="str">
        <f>'Hoja 1 - Área y fuentes'!D20</f>
        <v>DID-001</v>
      </c>
      <c r="G80" s="12">
        <v>66.099999999999994</v>
      </c>
      <c r="H80" s="10" t="s">
        <v>56</v>
      </c>
      <c r="I80" s="10" t="s">
        <v>50</v>
      </c>
      <c r="J80" s="15" t="str">
        <f>'Hoja 1 - Área y fuentes'!M20</f>
        <v>Sustituir por IDEAM u otra fuente oficial</v>
      </c>
      <c r="K80" s="10" t="s">
        <v>165</v>
      </c>
      <c r="L80" s="15" t="str">
        <f>IF(G80="","FALTANTE",IF(G80&lt;0,"NEGATIVO",IF(H80&lt;&gt;"mm","UNIDAD",IF(COUNTIF($A$20:A80,A80)&gt;1,"DUPLICADO","OK"))))</f>
        <v>OK</v>
      </c>
    </row>
    <row r="81" spans="1:12" ht="22.8">
      <c r="A81" s="13">
        <v>31444</v>
      </c>
      <c r="B81" s="15">
        <v>1986</v>
      </c>
      <c r="C81" s="15">
        <v>2</v>
      </c>
      <c r="D81" s="15" t="s">
        <v>141</v>
      </c>
      <c r="E81" s="15" t="str">
        <f>'Hoja 1 - Área y fuentes'!C20</f>
        <v>Serie sintética de capacitación</v>
      </c>
      <c r="F81" s="15" t="str">
        <f>'Hoja 1 - Área y fuentes'!D20</f>
        <v>DID-001</v>
      </c>
      <c r="G81" s="12">
        <v>80.3</v>
      </c>
      <c r="H81" s="10" t="s">
        <v>56</v>
      </c>
      <c r="I81" s="10" t="s">
        <v>50</v>
      </c>
      <c r="J81" s="15" t="str">
        <f>'Hoja 1 - Área y fuentes'!M20</f>
        <v>Sustituir por IDEAM u otra fuente oficial</v>
      </c>
      <c r="K81" s="10" t="s">
        <v>165</v>
      </c>
      <c r="L81" s="15" t="str">
        <f>IF(G81="","FALTANTE",IF(G81&lt;0,"NEGATIVO",IF(H81&lt;&gt;"mm","UNIDAD",IF(COUNTIF($A$20:A81,A81)&gt;1,"DUPLICADO","OK"))))</f>
        <v>OK</v>
      </c>
    </row>
    <row r="82" spans="1:12" ht="22.8">
      <c r="A82" s="13">
        <v>31472</v>
      </c>
      <c r="B82" s="15">
        <v>1986</v>
      </c>
      <c r="C82" s="15">
        <v>3</v>
      </c>
      <c r="D82" s="15" t="s">
        <v>148</v>
      </c>
      <c r="E82" s="15" t="str">
        <f>'Hoja 1 - Área y fuentes'!C20</f>
        <v>Serie sintética de capacitación</v>
      </c>
      <c r="F82" s="15" t="str">
        <f>'Hoja 1 - Área y fuentes'!D20</f>
        <v>DID-001</v>
      </c>
      <c r="G82" s="12">
        <v>109</v>
      </c>
      <c r="H82" s="10" t="s">
        <v>56</v>
      </c>
      <c r="I82" s="10" t="s">
        <v>50</v>
      </c>
      <c r="J82" s="15" t="str">
        <f>'Hoja 1 - Área y fuentes'!M20</f>
        <v>Sustituir por IDEAM u otra fuente oficial</v>
      </c>
      <c r="K82" s="10" t="s">
        <v>165</v>
      </c>
      <c r="L82" s="15" t="str">
        <f>IF(G82="","FALTANTE",IF(G82&lt;0,"NEGATIVO",IF(H82&lt;&gt;"mm","UNIDAD",IF(COUNTIF($A$20:A82,A82)&gt;1,"DUPLICADO","OK"))))</f>
        <v>OK</v>
      </c>
    </row>
    <row r="83" spans="1:12" ht="22.8">
      <c r="A83" s="13">
        <v>31503</v>
      </c>
      <c r="B83" s="15">
        <v>1986</v>
      </c>
      <c r="C83" s="15">
        <v>4</v>
      </c>
      <c r="D83" s="15" t="s">
        <v>149</v>
      </c>
      <c r="E83" s="15" t="str">
        <f>'Hoja 1 - Área y fuentes'!C20</f>
        <v>Serie sintética de capacitación</v>
      </c>
      <c r="F83" s="15" t="str">
        <f>'Hoja 1 - Área y fuentes'!D20</f>
        <v>DID-001</v>
      </c>
      <c r="G83" s="12">
        <v>160.19999999999999</v>
      </c>
      <c r="H83" s="10" t="s">
        <v>56</v>
      </c>
      <c r="I83" s="10" t="s">
        <v>50</v>
      </c>
      <c r="J83" s="15" t="str">
        <f>'Hoja 1 - Área y fuentes'!M20</f>
        <v>Sustituir por IDEAM u otra fuente oficial</v>
      </c>
      <c r="K83" s="10" t="s">
        <v>165</v>
      </c>
      <c r="L83" s="15" t="str">
        <f>IF(G83="","FALTANTE",IF(G83&lt;0,"NEGATIVO",IF(H83&lt;&gt;"mm","UNIDAD",IF(COUNTIF($A$20:A83,A83)&gt;1,"DUPLICADO","OK"))))</f>
        <v>OK</v>
      </c>
    </row>
    <row r="84" spans="1:12" ht="22.8">
      <c r="A84" s="13">
        <v>31533</v>
      </c>
      <c r="B84" s="15">
        <v>1986</v>
      </c>
      <c r="C84" s="15">
        <v>5</v>
      </c>
      <c r="D84" s="15" t="s">
        <v>151</v>
      </c>
      <c r="E84" s="15" t="str">
        <f>'Hoja 1 - Área y fuentes'!C20</f>
        <v>Serie sintética de capacitación</v>
      </c>
      <c r="F84" s="15" t="str">
        <f>'Hoja 1 - Área y fuentes'!D20</f>
        <v>DID-001</v>
      </c>
      <c r="G84" s="12">
        <v>148.69999999999999</v>
      </c>
      <c r="H84" s="10" t="s">
        <v>56</v>
      </c>
      <c r="I84" s="10" t="s">
        <v>50</v>
      </c>
      <c r="J84" s="15" t="str">
        <f>'Hoja 1 - Área y fuentes'!M20</f>
        <v>Sustituir por IDEAM u otra fuente oficial</v>
      </c>
      <c r="K84" s="10" t="s">
        <v>165</v>
      </c>
      <c r="L84" s="15" t="str">
        <f>IF(G84="","FALTANTE",IF(G84&lt;0,"NEGATIVO",IF(H84&lt;&gt;"mm","UNIDAD",IF(COUNTIF($A$20:A84,A84)&gt;1,"DUPLICADO","OK"))))</f>
        <v>OK</v>
      </c>
    </row>
    <row r="85" spans="1:12" ht="22.8">
      <c r="A85" s="13">
        <v>31564</v>
      </c>
      <c r="B85" s="15">
        <v>1986</v>
      </c>
      <c r="C85" s="15">
        <v>6</v>
      </c>
      <c r="D85" s="15" t="s">
        <v>152</v>
      </c>
      <c r="E85" s="15" t="str">
        <f>'Hoja 1 - Área y fuentes'!C20</f>
        <v>Serie sintética de capacitación</v>
      </c>
      <c r="F85" s="15" t="str">
        <f>'Hoja 1 - Área y fuentes'!D20</f>
        <v>DID-001</v>
      </c>
      <c r="G85" s="12">
        <v>83.7</v>
      </c>
      <c r="H85" s="10" t="s">
        <v>56</v>
      </c>
      <c r="I85" s="10" t="s">
        <v>50</v>
      </c>
      <c r="J85" s="15" t="str">
        <f>'Hoja 1 - Área y fuentes'!M20</f>
        <v>Sustituir por IDEAM u otra fuente oficial</v>
      </c>
      <c r="K85" s="10" t="s">
        <v>165</v>
      </c>
      <c r="L85" s="15" t="str">
        <f>IF(G85="","FALTANTE",IF(G85&lt;0,"NEGATIVO",IF(H85&lt;&gt;"mm","UNIDAD",IF(COUNTIF($A$20:A85,A85)&gt;1,"DUPLICADO","OK"))))</f>
        <v>OK</v>
      </c>
    </row>
    <row r="86" spans="1:12" ht="22.8">
      <c r="A86" s="13">
        <v>31594</v>
      </c>
      <c r="B86" s="15">
        <v>1986</v>
      </c>
      <c r="C86" s="15">
        <v>7</v>
      </c>
      <c r="D86" s="15" t="s">
        <v>153</v>
      </c>
      <c r="E86" s="15" t="str">
        <f>'Hoja 1 - Área y fuentes'!C20</f>
        <v>Serie sintética de capacitación</v>
      </c>
      <c r="F86" s="15" t="str">
        <f>'Hoja 1 - Área y fuentes'!D20</f>
        <v>DID-001</v>
      </c>
      <c r="G86" s="12">
        <v>73.5</v>
      </c>
      <c r="H86" s="10" t="s">
        <v>56</v>
      </c>
      <c r="I86" s="10" t="s">
        <v>50</v>
      </c>
      <c r="J86" s="15" t="str">
        <f>'Hoja 1 - Área y fuentes'!M20</f>
        <v>Sustituir por IDEAM u otra fuente oficial</v>
      </c>
      <c r="K86" s="10" t="s">
        <v>165</v>
      </c>
      <c r="L86" s="15" t="str">
        <f>IF(G86="","FALTANTE",IF(G86&lt;0,"NEGATIVO",IF(H86&lt;&gt;"mm","UNIDAD",IF(COUNTIF($A$20:A86,A86)&gt;1,"DUPLICADO","OK"))))</f>
        <v>OK</v>
      </c>
    </row>
    <row r="87" spans="1:12" ht="22.8">
      <c r="A87" s="13">
        <v>31625</v>
      </c>
      <c r="B87" s="15">
        <v>1986</v>
      </c>
      <c r="C87" s="15">
        <v>8</v>
      </c>
      <c r="D87" s="15" t="s">
        <v>154</v>
      </c>
      <c r="E87" s="15" t="str">
        <f>'Hoja 1 - Área y fuentes'!C20</f>
        <v>Serie sintética de capacitación</v>
      </c>
      <c r="F87" s="15" t="str">
        <f>'Hoja 1 - Área y fuentes'!D20</f>
        <v>DID-001</v>
      </c>
      <c r="G87" s="12">
        <v>78.599999999999994</v>
      </c>
      <c r="H87" s="10" t="s">
        <v>56</v>
      </c>
      <c r="I87" s="10" t="s">
        <v>50</v>
      </c>
      <c r="J87" s="15" t="str">
        <f>'Hoja 1 - Área y fuentes'!M20</f>
        <v>Sustituir por IDEAM u otra fuente oficial</v>
      </c>
      <c r="K87" s="10" t="s">
        <v>165</v>
      </c>
      <c r="L87" s="15" t="str">
        <f>IF(G87="","FALTANTE",IF(G87&lt;0,"NEGATIVO",IF(H87&lt;&gt;"mm","UNIDAD",IF(COUNTIF($A$20:A87,A87)&gt;1,"DUPLICADO","OK"))))</f>
        <v>OK</v>
      </c>
    </row>
    <row r="88" spans="1:12" ht="22.8">
      <c r="A88" s="13">
        <v>31656</v>
      </c>
      <c r="B88" s="15">
        <v>1986</v>
      </c>
      <c r="C88" s="15">
        <v>9</v>
      </c>
      <c r="D88" s="15" t="s">
        <v>155</v>
      </c>
      <c r="E88" s="15" t="str">
        <f>'Hoja 1 - Área y fuentes'!C20</f>
        <v>Serie sintética de capacitación</v>
      </c>
      <c r="F88" s="15" t="str">
        <f>'Hoja 1 - Área y fuentes'!D20</f>
        <v>DID-001</v>
      </c>
      <c r="G88" s="12">
        <v>118.2</v>
      </c>
      <c r="H88" s="10" t="s">
        <v>56</v>
      </c>
      <c r="I88" s="10" t="s">
        <v>50</v>
      </c>
      <c r="J88" s="15" t="str">
        <f>'Hoja 1 - Área y fuentes'!M20</f>
        <v>Sustituir por IDEAM u otra fuente oficial</v>
      </c>
      <c r="K88" s="10" t="s">
        <v>165</v>
      </c>
      <c r="L88" s="15" t="str">
        <f>IF(G88="","FALTANTE",IF(G88&lt;0,"NEGATIVO",IF(H88&lt;&gt;"mm","UNIDAD",IF(COUNTIF($A$20:A88,A88)&gt;1,"DUPLICADO","OK"))))</f>
        <v>OK</v>
      </c>
    </row>
    <row r="89" spans="1:12" ht="22.8">
      <c r="A89" s="13">
        <v>31686</v>
      </c>
      <c r="B89" s="15">
        <v>1986</v>
      </c>
      <c r="C89" s="15">
        <v>10</v>
      </c>
      <c r="D89" s="15" t="s">
        <v>157</v>
      </c>
      <c r="E89" s="15" t="str">
        <f>'Hoja 1 - Área y fuentes'!C20</f>
        <v>Serie sintética de capacitación</v>
      </c>
      <c r="F89" s="15" t="str">
        <f>'Hoja 1 - Área y fuentes'!D20</f>
        <v>DID-001</v>
      </c>
      <c r="G89" s="12">
        <v>170.1</v>
      </c>
      <c r="H89" s="10" t="s">
        <v>56</v>
      </c>
      <c r="I89" s="10" t="s">
        <v>50</v>
      </c>
      <c r="J89" s="15" t="str">
        <f>'Hoja 1 - Área y fuentes'!M20</f>
        <v>Sustituir por IDEAM u otra fuente oficial</v>
      </c>
      <c r="K89" s="10" t="s">
        <v>165</v>
      </c>
      <c r="L89" s="15" t="str">
        <f>IF(G89="","FALTANTE",IF(G89&lt;0,"NEGATIVO",IF(H89&lt;&gt;"mm","UNIDAD",IF(COUNTIF($A$20:A89,A89)&gt;1,"DUPLICADO","OK"))))</f>
        <v>OK</v>
      </c>
    </row>
    <row r="90" spans="1:12" ht="22.8">
      <c r="A90" s="13">
        <v>31717</v>
      </c>
      <c r="B90" s="15">
        <v>1986</v>
      </c>
      <c r="C90" s="15">
        <v>11</v>
      </c>
      <c r="D90" s="15" t="s">
        <v>158</v>
      </c>
      <c r="E90" s="15" t="str">
        <f>'Hoja 1 - Área y fuentes'!C20</f>
        <v>Serie sintética de capacitación</v>
      </c>
      <c r="F90" s="15" t="str">
        <f>'Hoja 1 - Área y fuentes'!D20</f>
        <v>DID-001</v>
      </c>
      <c r="G90" s="12">
        <v>139.30000000000001</v>
      </c>
      <c r="H90" s="10" t="s">
        <v>56</v>
      </c>
      <c r="I90" s="10" t="s">
        <v>50</v>
      </c>
      <c r="J90" s="15" t="str">
        <f>'Hoja 1 - Área y fuentes'!M20</f>
        <v>Sustituir por IDEAM u otra fuente oficial</v>
      </c>
      <c r="K90" s="10" t="s">
        <v>165</v>
      </c>
      <c r="L90" s="15" t="str">
        <f>IF(G90="","FALTANTE",IF(G90&lt;0,"NEGATIVO",IF(H90&lt;&gt;"mm","UNIDAD",IF(COUNTIF($A$20:A90,A90)&gt;1,"DUPLICADO","OK"))))</f>
        <v>OK</v>
      </c>
    </row>
    <row r="91" spans="1:12" ht="22.8">
      <c r="A91" s="13">
        <v>31747</v>
      </c>
      <c r="B91" s="15">
        <v>1986</v>
      </c>
      <c r="C91" s="15">
        <v>12</v>
      </c>
      <c r="D91" s="15" t="s">
        <v>164</v>
      </c>
      <c r="E91" s="15" t="str">
        <f>'Hoja 1 - Área y fuentes'!C20</f>
        <v>Serie sintética de capacitación</v>
      </c>
      <c r="F91" s="15" t="str">
        <f>'Hoja 1 - Área y fuentes'!D20</f>
        <v>DID-001</v>
      </c>
      <c r="G91" s="12">
        <v>79.3</v>
      </c>
      <c r="H91" s="10" t="s">
        <v>56</v>
      </c>
      <c r="I91" s="10" t="s">
        <v>50</v>
      </c>
      <c r="J91" s="15" t="str">
        <f>'Hoja 1 - Área y fuentes'!M20</f>
        <v>Sustituir por IDEAM u otra fuente oficial</v>
      </c>
      <c r="K91" s="10" t="s">
        <v>165</v>
      </c>
      <c r="L91" s="15" t="str">
        <f>IF(G91="","FALTANTE",IF(G91&lt;0,"NEGATIVO",IF(H91&lt;&gt;"mm","UNIDAD",IF(COUNTIF($A$20:A91,A91)&gt;1,"DUPLICADO","OK"))))</f>
        <v>OK</v>
      </c>
    </row>
    <row r="92" spans="1:12" ht="22.8">
      <c r="A92" s="13">
        <v>31778</v>
      </c>
      <c r="B92" s="15">
        <v>1987</v>
      </c>
      <c r="C92" s="15">
        <v>1</v>
      </c>
      <c r="D92" s="15" t="s">
        <v>134</v>
      </c>
      <c r="E92" s="15" t="str">
        <f>'Hoja 1 - Área y fuentes'!C20</f>
        <v>Serie sintética de capacitación</v>
      </c>
      <c r="F92" s="15" t="str">
        <f>'Hoja 1 - Área y fuentes'!D20</f>
        <v>DID-001</v>
      </c>
      <c r="G92" s="12">
        <v>73.5</v>
      </c>
      <c r="H92" s="10" t="s">
        <v>56</v>
      </c>
      <c r="I92" s="10" t="s">
        <v>50</v>
      </c>
      <c r="J92" s="15" t="str">
        <f>'Hoja 1 - Área y fuentes'!M20</f>
        <v>Sustituir por IDEAM u otra fuente oficial</v>
      </c>
      <c r="K92" s="10" t="s">
        <v>165</v>
      </c>
      <c r="L92" s="15" t="str">
        <f>IF(G92="","FALTANTE",IF(G92&lt;0,"NEGATIVO",IF(H92&lt;&gt;"mm","UNIDAD",IF(COUNTIF($A$20:A92,A92)&gt;1,"DUPLICADO","OK"))))</f>
        <v>OK</v>
      </c>
    </row>
    <row r="93" spans="1:12" ht="22.8">
      <c r="A93" s="13">
        <v>31809</v>
      </c>
      <c r="B93" s="15">
        <v>1987</v>
      </c>
      <c r="C93" s="15">
        <v>2</v>
      </c>
      <c r="D93" s="15" t="s">
        <v>141</v>
      </c>
      <c r="E93" s="15" t="str">
        <f>'Hoja 1 - Área y fuentes'!C20</f>
        <v>Serie sintética de capacitación</v>
      </c>
      <c r="F93" s="15" t="str">
        <f>'Hoja 1 - Área y fuentes'!D20</f>
        <v>DID-001</v>
      </c>
      <c r="G93" s="12">
        <v>83.5</v>
      </c>
      <c r="H93" s="10" t="s">
        <v>56</v>
      </c>
      <c r="I93" s="10" t="s">
        <v>50</v>
      </c>
      <c r="J93" s="15" t="str">
        <f>'Hoja 1 - Área y fuentes'!M20</f>
        <v>Sustituir por IDEAM u otra fuente oficial</v>
      </c>
      <c r="K93" s="10" t="s">
        <v>165</v>
      </c>
      <c r="L93" s="15" t="str">
        <f>IF(G93="","FALTANTE",IF(G93&lt;0,"NEGATIVO",IF(H93&lt;&gt;"mm","UNIDAD",IF(COUNTIF($A$20:A93,A93)&gt;1,"DUPLICADO","OK"))))</f>
        <v>OK</v>
      </c>
    </row>
    <row r="94" spans="1:12" ht="22.8">
      <c r="A94" s="13">
        <v>31837</v>
      </c>
      <c r="B94" s="15">
        <v>1987</v>
      </c>
      <c r="C94" s="15">
        <v>3</v>
      </c>
      <c r="D94" s="15" t="s">
        <v>148</v>
      </c>
      <c r="E94" s="15" t="str">
        <f>'Hoja 1 - Área y fuentes'!C20</f>
        <v>Serie sintética de capacitación</v>
      </c>
      <c r="F94" s="15" t="str">
        <f>'Hoja 1 - Área y fuentes'!D20</f>
        <v>DID-001</v>
      </c>
      <c r="G94" s="12">
        <v>119.2</v>
      </c>
      <c r="H94" s="10" t="s">
        <v>56</v>
      </c>
      <c r="I94" s="10" t="s">
        <v>50</v>
      </c>
      <c r="J94" s="15" t="str">
        <f>'Hoja 1 - Área y fuentes'!M20</f>
        <v>Sustituir por IDEAM u otra fuente oficial</v>
      </c>
      <c r="K94" s="10" t="s">
        <v>165</v>
      </c>
      <c r="L94" s="15" t="str">
        <f>IF(G94="","FALTANTE",IF(G94&lt;0,"NEGATIVO",IF(H94&lt;&gt;"mm","UNIDAD",IF(COUNTIF($A$20:A94,A94)&gt;1,"DUPLICADO","OK"))))</f>
        <v>OK</v>
      </c>
    </row>
    <row r="95" spans="1:12" ht="22.8">
      <c r="A95" s="13">
        <v>31868</v>
      </c>
      <c r="B95" s="15">
        <v>1987</v>
      </c>
      <c r="C95" s="15">
        <v>4</v>
      </c>
      <c r="D95" s="15" t="s">
        <v>149</v>
      </c>
      <c r="E95" s="15" t="str">
        <f>'Hoja 1 - Área y fuentes'!C20</f>
        <v>Serie sintética de capacitación</v>
      </c>
      <c r="F95" s="15" t="str">
        <f>'Hoja 1 - Área y fuentes'!D20</f>
        <v>DID-001</v>
      </c>
      <c r="G95" s="12">
        <v>178.5</v>
      </c>
      <c r="H95" s="10" t="s">
        <v>56</v>
      </c>
      <c r="I95" s="10" t="s">
        <v>50</v>
      </c>
      <c r="J95" s="15" t="str">
        <f>'Hoja 1 - Área y fuentes'!M20</f>
        <v>Sustituir por IDEAM u otra fuente oficial</v>
      </c>
      <c r="K95" s="10" t="s">
        <v>165</v>
      </c>
      <c r="L95" s="15" t="str">
        <f>IF(G95="","FALTANTE",IF(G95&lt;0,"NEGATIVO",IF(H95&lt;&gt;"mm","UNIDAD",IF(COUNTIF($A$20:A95,A95)&gt;1,"DUPLICADO","OK"))))</f>
        <v>OK</v>
      </c>
    </row>
    <row r="96" spans="1:12" ht="22.8">
      <c r="A96" s="13">
        <v>31898</v>
      </c>
      <c r="B96" s="15">
        <v>1987</v>
      </c>
      <c r="C96" s="15">
        <v>5</v>
      </c>
      <c r="D96" s="15" t="s">
        <v>151</v>
      </c>
      <c r="E96" s="15" t="str">
        <f>'Hoja 1 - Área y fuentes'!C20</f>
        <v>Serie sintética de capacitación</v>
      </c>
      <c r="F96" s="15" t="str">
        <f>'Hoja 1 - Área y fuentes'!D20</f>
        <v>DID-001</v>
      </c>
      <c r="G96" s="12">
        <v>149.19999999999999</v>
      </c>
      <c r="H96" s="10" t="s">
        <v>56</v>
      </c>
      <c r="I96" s="10" t="s">
        <v>50</v>
      </c>
      <c r="J96" s="15" t="str">
        <f>'Hoja 1 - Área y fuentes'!M20</f>
        <v>Sustituir por IDEAM u otra fuente oficial</v>
      </c>
      <c r="K96" s="10" t="s">
        <v>165</v>
      </c>
      <c r="L96" s="15" t="str">
        <f>IF(G96="","FALTANTE",IF(G96&lt;0,"NEGATIVO",IF(H96&lt;&gt;"mm","UNIDAD",IF(COUNTIF($A$20:A96,A96)&gt;1,"DUPLICADO","OK"))))</f>
        <v>OK</v>
      </c>
    </row>
    <row r="97" spans="1:12" ht="22.8">
      <c r="A97" s="13">
        <v>31929</v>
      </c>
      <c r="B97" s="15">
        <v>1987</v>
      </c>
      <c r="C97" s="15">
        <v>6</v>
      </c>
      <c r="D97" s="15" t="s">
        <v>152</v>
      </c>
      <c r="E97" s="15" t="str">
        <f>'Hoja 1 - Área y fuentes'!C20</f>
        <v>Serie sintética de capacitación</v>
      </c>
      <c r="F97" s="15" t="str">
        <f>'Hoja 1 - Área y fuentes'!D20</f>
        <v>DID-001</v>
      </c>
      <c r="G97" s="12">
        <v>97.2</v>
      </c>
      <c r="H97" s="10" t="s">
        <v>56</v>
      </c>
      <c r="I97" s="10" t="s">
        <v>50</v>
      </c>
      <c r="J97" s="15" t="str">
        <f>'Hoja 1 - Área y fuentes'!M20</f>
        <v>Sustituir por IDEAM u otra fuente oficial</v>
      </c>
      <c r="K97" s="10" t="s">
        <v>165</v>
      </c>
      <c r="L97" s="15" t="str">
        <f>IF(G97="","FALTANTE",IF(G97&lt;0,"NEGATIVO",IF(H97&lt;&gt;"mm","UNIDAD",IF(COUNTIF($A$20:A97,A97)&gt;1,"DUPLICADO","OK"))))</f>
        <v>OK</v>
      </c>
    </row>
    <row r="98" spans="1:12" ht="22.8">
      <c r="A98" s="13">
        <v>31959</v>
      </c>
      <c r="B98" s="15">
        <v>1987</v>
      </c>
      <c r="C98" s="15">
        <v>7</v>
      </c>
      <c r="D98" s="15" t="s">
        <v>153</v>
      </c>
      <c r="E98" s="15" t="str">
        <f>'Hoja 1 - Área y fuentes'!C20</f>
        <v>Serie sintética de capacitación</v>
      </c>
      <c r="F98" s="15" t="str">
        <f>'Hoja 1 - Área y fuentes'!D20</f>
        <v>DID-001</v>
      </c>
      <c r="G98" s="12">
        <v>76.8</v>
      </c>
      <c r="H98" s="10" t="s">
        <v>56</v>
      </c>
      <c r="I98" s="10" t="s">
        <v>50</v>
      </c>
      <c r="J98" s="15" t="str">
        <f>'Hoja 1 - Área y fuentes'!M20</f>
        <v>Sustituir por IDEAM u otra fuente oficial</v>
      </c>
      <c r="K98" s="10" t="s">
        <v>165</v>
      </c>
      <c r="L98" s="15" t="str">
        <f>IF(G98="","FALTANTE",IF(G98&lt;0,"NEGATIVO",IF(H98&lt;&gt;"mm","UNIDAD",IF(COUNTIF($A$20:A98,A98)&gt;1,"DUPLICADO","OK"))))</f>
        <v>OK</v>
      </c>
    </row>
    <row r="99" spans="1:12" ht="22.8">
      <c r="A99" s="13">
        <v>31990</v>
      </c>
      <c r="B99" s="15">
        <v>1987</v>
      </c>
      <c r="C99" s="15">
        <v>8</v>
      </c>
      <c r="D99" s="15" t="s">
        <v>154</v>
      </c>
      <c r="E99" s="15" t="str">
        <f>'Hoja 1 - Área y fuentes'!C20</f>
        <v>Serie sintética de capacitación</v>
      </c>
      <c r="F99" s="15" t="str">
        <f>'Hoja 1 - Área y fuentes'!D20</f>
        <v>DID-001</v>
      </c>
      <c r="G99" s="12">
        <v>82.4</v>
      </c>
      <c r="H99" s="10" t="s">
        <v>56</v>
      </c>
      <c r="I99" s="10" t="s">
        <v>50</v>
      </c>
      <c r="J99" s="15" t="str">
        <f>'Hoja 1 - Área y fuentes'!M20</f>
        <v>Sustituir por IDEAM u otra fuente oficial</v>
      </c>
      <c r="K99" s="10" t="s">
        <v>165</v>
      </c>
      <c r="L99" s="15" t="str">
        <f>IF(G99="","FALTANTE",IF(G99&lt;0,"NEGATIVO",IF(H99&lt;&gt;"mm","UNIDAD",IF(COUNTIF($A$20:A99,A99)&gt;1,"DUPLICADO","OK"))))</f>
        <v>OK</v>
      </c>
    </row>
    <row r="100" spans="1:12" ht="22.8">
      <c r="A100" s="13">
        <v>32021</v>
      </c>
      <c r="B100" s="15">
        <v>1987</v>
      </c>
      <c r="C100" s="15">
        <v>9</v>
      </c>
      <c r="D100" s="15" t="s">
        <v>155</v>
      </c>
      <c r="E100" s="15" t="str">
        <f>'Hoja 1 - Área y fuentes'!C20</f>
        <v>Serie sintética de capacitación</v>
      </c>
      <c r="F100" s="15" t="str">
        <f>'Hoja 1 - Área y fuentes'!D20</f>
        <v>DID-001</v>
      </c>
      <c r="G100" s="12">
        <v>137.1</v>
      </c>
      <c r="H100" s="10" t="s">
        <v>56</v>
      </c>
      <c r="I100" s="10" t="s">
        <v>50</v>
      </c>
      <c r="J100" s="15" t="str">
        <f>'Hoja 1 - Área y fuentes'!M20</f>
        <v>Sustituir por IDEAM u otra fuente oficial</v>
      </c>
      <c r="K100" s="10" t="s">
        <v>165</v>
      </c>
      <c r="L100" s="15" t="str">
        <f>IF(G100="","FALTANTE",IF(G100&lt;0,"NEGATIVO",IF(H100&lt;&gt;"mm","UNIDAD",IF(COUNTIF($A$20:A100,A100)&gt;1,"DUPLICADO","OK"))))</f>
        <v>OK</v>
      </c>
    </row>
    <row r="101" spans="1:12" ht="22.8">
      <c r="A101" s="13">
        <v>32051</v>
      </c>
      <c r="B101" s="15">
        <v>1987</v>
      </c>
      <c r="C101" s="15">
        <v>10</v>
      </c>
      <c r="D101" s="15" t="s">
        <v>157</v>
      </c>
      <c r="E101" s="15" t="str">
        <f>'Hoja 1 - Área y fuentes'!C20</f>
        <v>Serie sintética de capacitación</v>
      </c>
      <c r="F101" s="15" t="str">
        <f>'Hoja 1 - Área y fuentes'!D20</f>
        <v>DID-001</v>
      </c>
      <c r="G101" s="12">
        <v>170.6</v>
      </c>
      <c r="H101" s="10" t="s">
        <v>56</v>
      </c>
      <c r="I101" s="10" t="s">
        <v>50</v>
      </c>
      <c r="J101" s="15" t="str">
        <f>'Hoja 1 - Área y fuentes'!M20</f>
        <v>Sustituir por IDEAM u otra fuente oficial</v>
      </c>
      <c r="K101" s="10" t="s">
        <v>165</v>
      </c>
      <c r="L101" s="15" t="str">
        <f>IF(G101="","FALTANTE",IF(G101&lt;0,"NEGATIVO",IF(H101&lt;&gt;"mm","UNIDAD",IF(COUNTIF($A$20:A101,A101)&gt;1,"DUPLICADO","OK"))))</f>
        <v>OK</v>
      </c>
    </row>
    <row r="102" spans="1:12" ht="22.8">
      <c r="A102" s="13">
        <v>32082</v>
      </c>
      <c r="B102" s="15">
        <v>1987</v>
      </c>
      <c r="C102" s="15">
        <v>11</v>
      </c>
      <c r="D102" s="15" t="s">
        <v>158</v>
      </c>
      <c r="E102" s="15" t="str">
        <f>'Hoja 1 - Área y fuentes'!C20</f>
        <v>Serie sintética de capacitación</v>
      </c>
      <c r="F102" s="15" t="str">
        <f>'Hoja 1 - Área y fuentes'!D20</f>
        <v>DID-001</v>
      </c>
      <c r="G102" s="12">
        <v>155.6</v>
      </c>
      <c r="H102" s="10" t="s">
        <v>56</v>
      </c>
      <c r="I102" s="10" t="s">
        <v>50</v>
      </c>
      <c r="J102" s="15" t="str">
        <f>'Hoja 1 - Área y fuentes'!M20</f>
        <v>Sustituir por IDEAM u otra fuente oficial</v>
      </c>
      <c r="K102" s="10" t="s">
        <v>165</v>
      </c>
      <c r="L102" s="15" t="str">
        <f>IF(G102="","FALTANTE",IF(G102&lt;0,"NEGATIVO",IF(H102&lt;&gt;"mm","UNIDAD",IF(COUNTIF($A$20:A102,A102)&gt;1,"DUPLICADO","OK"))))</f>
        <v>OK</v>
      </c>
    </row>
    <row r="103" spans="1:12" ht="22.8">
      <c r="A103" s="13">
        <v>32112</v>
      </c>
      <c r="B103" s="15">
        <v>1987</v>
      </c>
      <c r="C103" s="15">
        <v>12</v>
      </c>
      <c r="D103" s="15" t="s">
        <v>164</v>
      </c>
      <c r="E103" s="15" t="str">
        <f>'Hoja 1 - Área y fuentes'!C20</f>
        <v>Serie sintética de capacitación</v>
      </c>
      <c r="F103" s="15" t="str">
        <f>'Hoja 1 - Área y fuentes'!D20</f>
        <v>DID-001</v>
      </c>
      <c r="G103" s="12">
        <v>86.5</v>
      </c>
      <c r="H103" s="10" t="s">
        <v>56</v>
      </c>
      <c r="I103" s="10" t="s">
        <v>50</v>
      </c>
      <c r="J103" s="15" t="str">
        <f>'Hoja 1 - Área y fuentes'!M20</f>
        <v>Sustituir por IDEAM u otra fuente oficial</v>
      </c>
      <c r="K103" s="10" t="s">
        <v>165</v>
      </c>
      <c r="L103" s="15" t="str">
        <f>IF(G103="","FALTANTE",IF(G103&lt;0,"NEGATIVO",IF(H103&lt;&gt;"mm","UNIDAD",IF(COUNTIF($A$20:A103,A103)&gt;1,"DUPLICADO","OK"))))</f>
        <v>OK</v>
      </c>
    </row>
    <row r="104" spans="1:12" ht="22.8">
      <c r="A104" s="13">
        <v>32143</v>
      </c>
      <c r="B104" s="15">
        <v>1988</v>
      </c>
      <c r="C104" s="15">
        <v>1</v>
      </c>
      <c r="D104" s="15" t="s">
        <v>134</v>
      </c>
      <c r="E104" s="15" t="str">
        <f>'Hoja 1 - Área y fuentes'!C20</f>
        <v>Serie sintética de capacitación</v>
      </c>
      <c r="F104" s="15" t="str">
        <f>'Hoja 1 - Área y fuentes'!D20</f>
        <v>DID-001</v>
      </c>
      <c r="G104" s="12">
        <v>69.5</v>
      </c>
      <c r="H104" s="10" t="s">
        <v>56</v>
      </c>
      <c r="I104" s="10" t="s">
        <v>50</v>
      </c>
      <c r="J104" s="15" t="str">
        <f>'Hoja 1 - Área y fuentes'!M20</f>
        <v>Sustituir por IDEAM u otra fuente oficial</v>
      </c>
      <c r="K104" s="10" t="s">
        <v>165</v>
      </c>
      <c r="L104" s="15" t="str">
        <f>IF(G104="","FALTANTE",IF(G104&lt;0,"NEGATIVO",IF(H104&lt;&gt;"mm","UNIDAD",IF(COUNTIF($A$20:A104,A104)&gt;1,"DUPLICADO","OK"))))</f>
        <v>OK</v>
      </c>
    </row>
    <row r="105" spans="1:12" ht="22.8">
      <c r="A105" s="13">
        <v>32174</v>
      </c>
      <c r="B105" s="15">
        <v>1988</v>
      </c>
      <c r="C105" s="15">
        <v>2</v>
      </c>
      <c r="D105" s="15" t="s">
        <v>141</v>
      </c>
      <c r="E105" s="15" t="str">
        <f>'Hoja 1 - Área y fuentes'!C20</f>
        <v>Serie sintética de capacitación</v>
      </c>
      <c r="F105" s="15" t="str">
        <f>'Hoja 1 - Área y fuentes'!D20</f>
        <v>DID-001</v>
      </c>
      <c r="G105" s="12">
        <v>74.2</v>
      </c>
      <c r="H105" s="10" t="s">
        <v>56</v>
      </c>
      <c r="I105" s="10" t="s">
        <v>50</v>
      </c>
      <c r="J105" s="15" t="str">
        <f>'Hoja 1 - Área y fuentes'!M20</f>
        <v>Sustituir por IDEAM u otra fuente oficial</v>
      </c>
      <c r="K105" s="10" t="s">
        <v>165</v>
      </c>
      <c r="L105" s="15" t="str">
        <f>IF(G105="","FALTANTE",IF(G105&lt;0,"NEGATIVO",IF(H105&lt;&gt;"mm","UNIDAD",IF(COUNTIF($A$20:A105,A105)&gt;1,"DUPLICADO","OK"))))</f>
        <v>OK</v>
      </c>
    </row>
    <row r="106" spans="1:12" ht="22.8">
      <c r="A106" s="13">
        <v>32203</v>
      </c>
      <c r="B106" s="15">
        <v>1988</v>
      </c>
      <c r="C106" s="15">
        <v>3</v>
      </c>
      <c r="D106" s="15" t="s">
        <v>148</v>
      </c>
      <c r="E106" s="15" t="str">
        <f>'Hoja 1 - Área y fuentes'!C20</f>
        <v>Serie sintética de capacitación</v>
      </c>
      <c r="F106" s="15" t="str">
        <f>'Hoja 1 - Área y fuentes'!D20</f>
        <v>DID-001</v>
      </c>
      <c r="G106" s="12">
        <v>116.8</v>
      </c>
      <c r="H106" s="10" t="s">
        <v>56</v>
      </c>
      <c r="I106" s="10" t="s">
        <v>50</v>
      </c>
      <c r="J106" s="15" t="str">
        <f>'Hoja 1 - Área y fuentes'!M20</f>
        <v>Sustituir por IDEAM u otra fuente oficial</v>
      </c>
      <c r="K106" s="10" t="s">
        <v>165</v>
      </c>
      <c r="L106" s="15" t="str">
        <f>IF(G106="","FALTANTE",IF(G106&lt;0,"NEGATIVO",IF(H106&lt;&gt;"mm","UNIDAD",IF(COUNTIF($A$20:A106,A106)&gt;1,"DUPLICADO","OK"))))</f>
        <v>OK</v>
      </c>
    </row>
    <row r="107" spans="1:12" ht="22.8">
      <c r="A107" s="13">
        <v>32234</v>
      </c>
      <c r="B107" s="15">
        <v>1988</v>
      </c>
      <c r="C107" s="15">
        <v>4</v>
      </c>
      <c r="D107" s="15" t="s">
        <v>149</v>
      </c>
      <c r="E107" s="15" t="str">
        <f>'Hoja 1 - Área y fuentes'!C20</f>
        <v>Serie sintética de capacitación</v>
      </c>
      <c r="F107" s="15" t="str">
        <f>'Hoja 1 - Área y fuentes'!D20</f>
        <v>DID-001</v>
      </c>
      <c r="G107" s="12">
        <v>155</v>
      </c>
      <c r="H107" s="10" t="s">
        <v>56</v>
      </c>
      <c r="I107" s="10" t="s">
        <v>50</v>
      </c>
      <c r="J107" s="15" t="str">
        <f>'Hoja 1 - Área y fuentes'!M20</f>
        <v>Sustituir por IDEAM u otra fuente oficial</v>
      </c>
      <c r="K107" s="10" t="s">
        <v>165</v>
      </c>
      <c r="L107" s="15" t="str">
        <f>IF(G107="","FALTANTE",IF(G107&lt;0,"NEGATIVO",IF(H107&lt;&gt;"mm","UNIDAD",IF(COUNTIF($A$20:A107,A107)&gt;1,"DUPLICADO","OK"))))</f>
        <v>OK</v>
      </c>
    </row>
    <row r="108" spans="1:12" ht="22.8">
      <c r="A108" s="13">
        <v>32264</v>
      </c>
      <c r="B108" s="15">
        <v>1988</v>
      </c>
      <c r="C108" s="15">
        <v>5</v>
      </c>
      <c r="D108" s="15" t="s">
        <v>151</v>
      </c>
      <c r="E108" s="15" t="str">
        <f>'Hoja 1 - Área y fuentes'!C20</f>
        <v>Serie sintética de capacitación</v>
      </c>
      <c r="F108" s="15" t="str">
        <f>'Hoja 1 - Área y fuentes'!D20</f>
        <v>DID-001</v>
      </c>
      <c r="G108" s="12">
        <v>146.80000000000001</v>
      </c>
      <c r="H108" s="10" t="s">
        <v>56</v>
      </c>
      <c r="I108" s="10" t="s">
        <v>50</v>
      </c>
      <c r="J108" s="15" t="str">
        <f>'Hoja 1 - Área y fuentes'!M20</f>
        <v>Sustituir por IDEAM u otra fuente oficial</v>
      </c>
      <c r="K108" s="10" t="s">
        <v>165</v>
      </c>
      <c r="L108" s="15" t="str">
        <f>IF(G108="","FALTANTE",IF(G108&lt;0,"NEGATIVO",IF(H108&lt;&gt;"mm","UNIDAD",IF(COUNTIF($A$20:A108,A108)&gt;1,"DUPLICADO","OK"))))</f>
        <v>OK</v>
      </c>
    </row>
    <row r="109" spans="1:12" ht="22.8">
      <c r="A109" s="13">
        <v>32295</v>
      </c>
      <c r="B109" s="15">
        <v>1988</v>
      </c>
      <c r="C109" s="15">
        <v>6</v>
      </c>
      <c r="D109" s="15" t="s">
        <v>152</v>
      </c>
      <c r="E109" s="15" t="str">
        <f>'Hoja 1 - Área y fuentes'!C20</f>
        <v>Serie sintética de capacitación</v>
      </c>
      <c r="F109" s="15" t="str">
        <f>'Hoja 1 - Área y fuentes'!D20</f>
        <v>DID-001</v>
      </c>
      <c r="G109" s="12">
        <v>86.2</v>
      </c>
      <c r="H109" s="10" t="s">
        <v>56</v>
      </c>
      <c r="I109" s="10" t="s">
        <v>50</v>
      </c>
      <c r="J109" s="15" t="str">
        <f>'Hoja 1 - Área y fuentes'!M20</f>
        <v>Sustituir por IDEAM u otra fuente oficial</v>
      </c>
      <c r="K109" s="10" t="s">
        <v>165</v>
      </c>
      <c r="L109" s="15" t="str">
        <f>IF(G109="","FALTANTE",IF(G109&lt;0,"NEGATIVO",IF(H109&lt;&gt;"mm","UNIDAD",IF(COUNTIF($A$20:A109,A109)&gt;1,"DUPLICADO","OK"))))</f>
        <v>OK</v>
      </c>
    </row>
    <row r="110" spans="1:12" ht="22.8">
      <c r="A110" s="13">
        <v>32325</v>
      </c>
      <c r="B110" s="15">
        <v>1988</v>
      </c>
      <c r="C110" s="15">
        <v>7</v>
      </c>
      <c r="D110" s="15" t="s">
        <v>153</v>
      </c>
      <c r="E110" s="15" t="str">
        <f>'Hoja 1 - Área y fuentes'!C20</f>
        <v>Serie sintética de capacitación</v>
      </c>
      <c r="F110" s="15" t="str">
        <f>'Hoja 1 - Área y fuentes'!D20</f>
        <v>DID-001</v>
      </c>
      <c r="G110" s="12">
        <v>72.3</v>
      </c>
      <c r="H110" s="10" t="s">
        <v>56</v>
      </c>
      <c r="I110" s="10" t="s">
        <v>50</v>
      </c>
      <c r="J110" s="15" t="str">
        <f>'Hoja 1 - Área y fuentes'!M20</f>
        <v>Sustituir por IDEAM u otra fuente oficial</v>
      </c>
      <c r="K110" s="10" t="s">
        <v>165</v>
      </c>
      <c r="L110" s="15" t="str">
        <f>IF(G110="","FALTANTE",IF(G110&lt;0,"NEGATIVO",IF(H110&lt;&gt;"mm","UNIDAD",IF(COUNTIF($A$20:A110,A110)&gt;1,"DUPLICADO","OK"))))</f>
        <v>OK</v>
      </c>
    </row>
    <row r="111" spans="1:12" ht="22.8">
      <c r="A111" s="13">
        <v>32356</v>
      </c>
      <c r="B111" s="15">
        <v>1988</v>
      </c>
      <c r="C111" s="15">
        <v>8</v>
      </c>
      <c r="D111" s="15" t="s">
        <v>154</v>
      </c>
      <c r="E111" s="15" t="str">
        <f>'Hoja 1 - Área y fuentes'!C20</f>
        <v>Serie sintética de capacitación</v>
      </c>
      <c r="F111" s="15" t="str">
        <f>'Hoja 1 - Área y fuentes'!D20</f>
        <v>DID-001</v>
      </c>
      <c r="G111" s="12">
        <v>77.3</v>
      </c>
      <c r="H111" s="10" t="s">
        <v>56</v>
      </c>
      <c r="I111" s="10" t="s">
        <v>50</v>
      </c>
      <c r="J111" s="15" t="str">
        <f>'Hoja 1 - Área y fuentes'!M20</f>
        <v>Sustituir por IDEAM u otra fuente oficial</v>
      </c>
      <c r="K111" s="10" t="s">
        <v>165</v>
      </c>
      <c r="L111" s="15" t="str">
        <f>IF(G111="","FALTANTE",IF(G111&lt;0,"NEGATIVO",IF(H111&lt;&gt;"mm","UNIDAD",IF(COUNTIF($A$20:A111,A111)&gt;1,"DUPLICADO","OK"))))</f>
        <v>OK</v>
      </c>
    </row>
    <row r="112" spans="1:12" ht="22.8">
      <c r="A112" s="13">
        <v>32387</v>
      </c>
      <c r="B112" s="15">
        <v>1988</v>
      </c>
      <c r="C112" s="15">
        <v>9</v>
      </c>
      <c r="D112" s="15" t="s">
        <v>155</v>
      </c>
      <c r="E112" s="15" t="str">
        <f>'Hoja 1 - Área y fuentes'!C20</f>
        <v>Serie sintética de capacitación</v>
      </c>
      <c r="F112" s="15" t="str">
        <f>'Hoja 1 - Área y fuentes'!D20</f>
        <v>DID-001</v>
      </c>
      <c r="G112" s="12">
        <v>122</v>
      </c>
      <c r="H112" s="10" t="s">
        <v>56</v>
      </c>
      <c r="I112" s="10" t="s">
        <v>50</v>
      </c>
      <c r="J112" s="15" t="str">
        <f>'Hoja 1 - Área y fuentes'!M20</f>
        <v>Sustituir por IDEAM u otra fuente oficial</v>
      </c>
      <c r="K112" s="10" t="s">
        <v>165</v>
      </c>
      <c r="L112" s="15" t="str">
        <f>IF(G112="","FALTANTE",IF(G112&lt;0,"NEGATIVO",IF(H112&lt;&gt;"mm","UNIDAD",IF(COUNTIF($A$20:A112,A112)&gt;1,"DUPLICADO","OK"))))</f>
        <v>OK</v>
      </c>
    </row>
    <row r="113" spans="1:12" ht="22.8">
      <c r="A113" s="13">
        <v>32417</v>
      </c>
      <c r="B113" s="15">
        <v>1988</v>
      </c>
      <c r="C113" s="15">
        <v>10</v>
      </c>
      <c r="D113" s="15" t="s">
        <v>157</v>
      </c>
      <c r="E113" s="15" t="str">
        <f>'Hoja 1 - Área y fuentes'!C20</f>
        <v>Serie sintética de capacitación</v>
      </c>
      <c r="F113" s="15" t="str">
        <f>'Hoja 1 - Área y fuentes'!D20</f>
        <v>DID-001</v>
      </c>
      <c r="G113" s="12">
        <v>167.4</v>
      </c>
      <c r="H113" s="10" t="s">
        <v>56</v>
      </c>
      <c r="I113" s="10" t="s">
        <v>50</v>
      </c>
      <c r="J113" s="15" t="str">
        <f>'Hoja 1 - Área y fuentes'!M20</f>
        <v>Sustituir por IDEAM u otra fuente oficial</v>
      </c>
      <c r="K113" s="10" t="s">
        <v>165</v>
      </c>
      <c r="L113" s="15" t="str">
        <f>IF(G113="","FALTANTE",IF(G113&lt;0,"NEGATIVO",IF(H113&lt;&gt;"mm","UNIDAD",IF(COUNTIF($A$20:A113,A113)&gt;1,"DUPLICADO","OK"))))</f>
        <v>OK</v>
      </c>
    </row>
    <row r="114" spans="1:12" ht="22.8">
      <c r="A114" s="13">
        <v>32448</v>
      </c>
      <c r="B114" s="15">
        <v>1988</v>
      </c>
      <c r="C114" s="15">
        <v>11</v>
      </c>
      <c r="D114" s="15" t="s">
        <v>158</v>
      </c>
      <c r="E114" s="15" t="str">
        <f>'Hoja 1 - Área y fuentes'!C20</f>
        <v>Serie sintética de capacitación</v>
      </c>
      <c r="F114" s="15" t="str">
        <f>'Hoja 1 - Área y fuentes'!D20</f>
        <v>DID-001</v>
      </c>
      <c r="G114" s="12">
        <v>135.30000000000001</v>
      </c>
      <c r="H114" s="10" t="s">
        <v>56</v>
      </c>
      <c r="I114" s="10" t="s">
        <v>50</v>
      </c>
      <c r="J114" s="15" t="str">
        <f>'Hoja 1 - Área y fuentes'!M20</f>
        <v>Sustituir por IDEAM u otra fuente oficial</v>
      </c>
      <c r="K114" s="10" t="s">
        <v>165</v>
      </c>
      <c r="L114" s="15" t="str">
        <f>IF(G114="","FALTANTE",IF(G114&lt;0,"NEGATIVO",IF(H114&lt;&gt;"mm","UNIDAD",IF(COUNTIF($A$20:A114,A114)&gt;1,"DUPLICADO","OK"))))</f>
        <v>OK</v>
      </c>
    </row>
    <row r="115" spans="1:12" ht="22.8">
      <c r="A115" s="13">
        <v>32478</v>
      </c>
      <c r="B115" s="15">
        <v>1988</v>
      </c>
      <c r="C115" s="15">
        <v>12</v>
      </c>
      <c r="D115" s="15" t="s">
        <v>164</v>
      </c>
      <c r="E115" s="15" t="str">
        <f>'Hoja 1 - Área y fuentes'!C20</f>
        <v>Serie sintética de capacitación</v>
      </c>
      <c r="F115" s="15" t="str">
        <f>'Hoja 1 - Área y fuentes'!D20</f>
        <v>DID-001</v>
      </c>
      <c r="G115" s="12">
        <v>84.8</v>
      </c>
      <c r="H115" s="10" t="s">
        <v>56</v>
      </c>
      <c r="I115" s="10" t="s">
        <v>50</v>
      </c>
      <c r="J115" s="15" t="str">
        <f>'Hoja 1 - Área y fuentes'!M20</f>
        <v>Sustituir por IDEAM u otra fuente oficial</v>
      </c>
      <c r="K115" s="10" t="s">
        <v>165</v>
      </c>
      <c r="L115" s="15" t="str">
        <f>IF(G115="","FALTANTE",IF(G115&lt;0,"NEGATIVO",IF(H115&lt;&gt;"mm","UNIDAD",IF(COUNTIF($A$20:A115,A115)&gt;1,"DUPLICADO","OK"))))</f>
        <v>OK</v>
      </c>
    </row>
    <row r="116" spans="1:12" ht="22.8">
      <c r="A116" s="13">
        <v>32509</v>
      </c>
      <c r="B116" s="15">
        <v>1989</v>
      </c>
      <c r="C116" s="15">
        <v>1</v>
      </c>
      <c r="D116" s="15" t="s">
        <v>134</v>
      </c>
      <c r="E116" s="15" t="str">
        <f>'Hoja 1 - Área y fuentes'!C20</f>
        <v>Serie sintética de capacitación</v>
      </c>
      <c r="F116" s="15" t="str">
        <f>'Hoja 1 - Área y fuentes'!D20</f>
        <v>DID-001</v>
      </c>
      <c r="G116" s="12">
        <v>61.5</v>
      </c>
      <c r="H116" s="10" t="s">
        <v>56</v>
      </c>
      <c r="I116" s="10" t="s">
        <v>50</v>
      </c>
      <c r="J116" s="15" t="str">
        <f>'Hoja 1 - Área y fuentes'!M20</f>
        <v>Sustituir por IDEAM u otra fuente oficial</v>
      </c>
      <c r="K116" s="10" t="s">
        <v>165</v>
      </c>
      <c r="L116" s="15" t="str">
        <f>IF(G116="","FALTANTE",IF(G116&lt;0,"NEGATIVO",IF(H116&lt;&gt;"mm","UNIDAD",IF(COUNTIF($A$20:A116,A116)&gt;1,"DUPLICADO","OK"))))</f>
        <v>OK</v>
      </c>
    </row>
    <row r="117" spans="1:12" ht="22.8">
      <c r="A117" s="13">
        <v>32540</v>
      </c>
      <c r="B117" s="15">
        <v>1989</v>
      </c>
      <c r="C117" s="15">
        <v>2</v>
      </c>
      <c r="D117" s="15" t="s">
        <v>141</v>
      </c>
      <c r="E117" s="15" t="str">
        <f>'Hoja 1 - Área y fuentes'!C20</f>
        <v>Serie sintética de capacitación</v>
      </c>
      <c r="F117" s="15" t="str">
        <f>'Hoja 1 - Área y fuentes'!D20</f>
        <v>DID-001</v>
      </c>
      <c r="G117" s="12">
        <v>65</v>
      </c>
      <c r="H117" s="10" t="s">
        <v>56</v>
      </c>
      <c r="I117" s="10" t="s">
        <v>50</v>
      </c>
      <c r="J117" s="15" t="str">
        <f>'Hoja 1 - Área y fuentes'!M20</f>
        <v>Sustituir por IDEAM u otra fuente oficial</v>
      </c>
      <c r="K117" s="10" t="s">
        <v>165</v>
      </c>
      <c r="L117" s="15" t="str">
        <f>IF(G117="","FALTANTE",IF(G117&lt;0,"NEGATIVO",IF(H117&lt;&gt;"mm","UNIDAD",IF(COUNTIF($A$20:A117,A117)&gt;1,"DUPLICADO","OK"))))</f>
        <v>OK</v>
      </c>
    </row>
    <row r="118" spans="1:12" ht="22.8">
      <c r="A118" s="13">
        <v>32568</v>
      </c>
      <c r="B118" s="15">
        <v>1989</v>
      </c>
      <c r="C118" s="15">
        <v>3</v>
      </c>
      <c r="D118" s="15" t="s">
        <v>148</v>
      </c>
      <c r="E118" s="15" t="str">
        <f>'Hoja 1 - Área y fuentes'!C20</f>
        <v>Serie sintética de capacitación</v>
      </c>
      <c r="F118" s="15" t="str">
        <f>'Hoja 1 - Área y fuentes'!D20</f>
        <v>DID-001</v>
      </c>
      <c r="G118" s="12">
        <v>103.1</v>
      </c>
      <c r="H118" s="10" t="s">
        <v>56</v>
      </c>
      <c r="I118" s="10" t="s">
        <v>50</v>
      </c>
      <c r="J118" s="15" t="str">
        <f>'Hoja 1 - Área y fuentes'!M20</f>
        <v>Sustituir por IDEAM u otra fuente oficial</v>
      </c>
      <c r="K118" s="10" t="s">
        <v>165</v>
      </c>
      <c r="L118" s="15" t="str">
        <f>IF(G118="","FALTANTE",IF(G118&lt;0,"NEGATIVO",IF(H118&lt;&gt;"mm","UNIDAD",IF(COUNTIF($A$20:A118,A118)&gt;1,"DUPLICADO","OK"))))</f>
        <v>OK</v>
      </c>
    </row>
    <row r="119" spans="1:12" ht="22.8">
      <c r="A119" s="13">
        <v>32599</v>
      </c>
      <c r="B119" s="15">
        <v>1989</v>
      </c>
      <c r="C119" s="15">
        <v>4</v>
      </c>
      <c r="D119" s="15" t="s">
        <v>149</v>
      </c>
      <c r="E119" s="15" t="str">
        <f>'Hoja 1 - Área y fuentes'!C20</f>
        <v>Serie sintética de capacitación</v>
      </c>
      <c r="F119" s="15" t="str">
        <f>'Hoja 1 - Área y fuentes'!D20</f>
        <v>DID-001</v>
      </c>
      <c r="G119" s="12">
        <v>136.1</v>
      </c>
      <c r="H119" s="10" t="s">
        <v>56</v>
      </c>
      <c r="I119" s="10" t="s">
        <v>50</v>
      </c>
      <c r="J119" s="15" t="str">
        <f>'Hoja 1 - Área y fuentes'!M20</f>
        <v>Sustituir por IDEAM u otra fuente oficial</v>
      </c>
      <c r="K119" s="10" t="s">
        <v>165</v>
      </c>
      <c r="L119" s="15" t="str">
        <f>IF(G119="","FALTANTE",IF(G119&lt;0,"NEGATIVO",IF(H119&lt;&gt;"mm","UNIDAD",IF(COUNTIF($A$20:A119,A119)&gt;1,"DUPLICADO","OK"))))</f>
        <v>OK</v>
      </c>
    </row>
    <row r="120" spans="1:12" ht="22.8">
      <c r="A120" s="13">
        <v>32629</v>
      </c>
      <c r="B120" s="15">
        <v>1989</v>
      </c>
      <c r="C120" s="15">
        <v>5</v>
      </c>
      <c r="D120" s="15" t="s">
        <v>151</v>
      </c>
      <c r="E120" s="15" t="str">
        <f>'Hoja 1 - Área y fuentes'!C20</f>
        <v>Serie sintética de capacitación</v>
      </c>
      <c r="F120" s="15" t="str">
        <f>'Hoja 1 - Área y fuentes'!D20</f>
        <v>DID-001</v>
      </c>
      <c r="G120" s="12">
        <v>129.30000000000001</v>
      </c>
      <c r="H120" s="10" t="s">
        <v>56</v>
      </c>
      <c r="I120" s="10" t="s">
        <v>50</v>
      </c>
      <c r="J120" s="15" t="str">
        <f>'Hoja 1 - Área y fuentes'!M20</f>
        <v>Sustituir por IDEAM u otra fuente oficial</v>
      </c>
      <c r="K120" s="10" t="s">
        <v>165</v>
      </c>
      <c r="L120" s="15" t="str">
        <f>IF(G120="","FALTANTE",IF(G120&lt;0,"NEGATIVO",IF(H120&lt;&gt;"mm","UNIDAD",IF(COUNTIF($A$20:A120,A120)&gt;1,"DUPLICADO","OK"))))</f>
        <v>OK</v>
      </c>
    </row>
    <row r="121" spans="1:12" ht="22.8">
      <c r="A121" s="13">
        <v>32660</v>
      </c>
      <c r="B121" s="15">
        <v>1989</v>
      </c>
      <c r="C121" s="15">
        <v>6</v>
      </c>
      <c r="D121" s="15" t="s">
        <v>152</v>
      </c>
      <c r="E121" s="15" t="str">
        <f>'Hoja 1 - Área y fuentes'!C20</f>
        <v>Serie sintética de capacitación</v>
      </c>
      <c r="F121" s="15" t="str">
        <f>'Hoja 1 - Área y fuentes'!D20</f>
        <v>DID-001</v>
      </c>
      <c r="G121" s="12">
        <v>75.900000000000006</v>
      </c>
      <c r="H121" s="10" t="s">
        <v>56</v>
      </c>
      <c r="I121" s="10" t="s">
        <v>50</v>
      </c>
      <c r="J121" s="15" t="str">
        <f>'Hoja 1 - Área y fuentes'!M20</f>
        <v>Sustituir por IDEAM u otra fuente oficial</v>
      </c>
      <c r="K121" s="10" t="s">
        <v>165</v>
      </c>
      <c r="L121" s="15" t="str">
        <f>IF(G121="","FALTANTE",IF(G121&lt;0,"NEGATIVO",IF(H121&lt;&gt;"mm","UNIDAD",IF(COUNTIF($A$20:A121,A121)&gt;1,"DUPLICADO","OK"))))</f>
        <v>OK</v>
      </c>
    </row>
    <row r="122" spans="1:12" ht="22.8">
      <c r="A122" s="13">
        <v>32690</v>
      </c>
      <c r="B122" s="15">
        <v>1989</v>
      </c>
      <c r="C122" s="15">
        <v>7</v>
      </c>
      <c r="D122" s="15" t="s">
        <v>153</v>
      </c>
      <c r="E122" s="15" t="str">
        <f>'Hoja 1 - Área y fuentes'!C20</f>
        <v>Serie sintética de capacitación</v>
      </c>
      <c r="F122" s="15" t="str">
        <f>'Hoja 1 - Área y fuentes'!D20</f>
        <v>DID-001</v>
      </c>
      <c r="G122" s="12">
        <v>63.5</v>
      </c>
      <c r="H122" s="10" t="s">
        <v>56</v>
      </c>
      <c r="I122" s="10" t="s">
        <v>50</v>
      </c>
      <c r="J122" s="15" t="str">
        <f>'Hoja 1 - Área y fuentes'!M20</f>
        <v>Sustituir por IDEAM u otra fuente oficial</v>
      </c>
      <c r="K122" s="10" t="s">
        <v>165</v>
      </c>
      <c r="L122" s="15" t="str">
        <f>IF(G122="","FALTANTE",IF(G122&lt;0,"NEGATIVO",IF(H122&lt;&gt;"mm","UNIDAD",IF(COUNTIF($A$20:A122,A122)&gt;1,"DUPLICADO","OK"))))</f>
        <v>OK</v>
      </c>
    </row>
    <row r="123" spans="1:12" ht="22.8">
      <c r="A123" s="13">
        <v>32721</v>
      </c>
      <c r="B123" s="15">
        <v>1989</v>
      </c>
      <c r="C123" s="15">
        <v>8</v>
      </c>
      <c r="D123" s="15" t="s">
        <v>154</v>
      </c>
      <c r="E123" s="15" t="str">
        <f>'Hoja 1 - Área y fuentes'!C20</f>
        <v>Serie sintética de capacitación</v>
      </c>
      <c r="F123" s="15" t="str">
        <f>'Hoja 1 - Área y fuentes'!D20</f>
        <v>DID-001</v>
      </c>
      <c r="G123" s="12">
        <v>68.2</v>
      </c>
      <c r="H123" s="10" t="s">
        <v>56</v>
      </c>
      <c r="I123" s="10" t="s">
        <v>50</v>
      </c>
      <c r="J123" s="15" t="str">
        <f>'Hoja 1 - Área y fuentes'!M20</f>
        <v>Sustituir por IDEAM u otra fuente oficial</v>
      </c>
      <c r="K123" s="10" t="s">
        <v>165</v>
      </c>
      <c r="L123" s="15" t="str">
        <f>IF(G123="","FALTANTE",IF(G123&lt;0,"NEGATIVO",IF(H123&lt;&gt;"mm","UNIDAD",IF(COUNTIF($A$20:A123,A123)&gt;1,"DUPLICADO","OK"))))</f>
        <v>OK</v>
      </c>
    </row>
    <row r="124" spans="1:12" ht="22.8">
      <c r="A124" s="13">
        <v>32752</v>
      </c>
      <c r="B124" s="15">
        <v>1989</v>
      </c>
      <c r="C124" s="15">
        <v>9</v>
      </c>
      <c r="D124" s="15" t="s">
        <v>155</v>
      </c>
      <c r="E124" s="15" t="str">
        <f>'Hoja 1 - Área y fuentes'!C20</f>
        <v>Serie sintética de capacitación</v>
      </c>
      <c r="F124" s="15" t="str">
        <f>'Hoja 1 - Área y fuentes'!D20</f>
        <v>DID-001</v>
      </c>
      <c r="G124" s="12">
        <v>106.9</v>
      </c>
      <c r="H124" s="10" t="s">
        <v>56</v>
      </c>
      <c r="I124" s="10" t="s">
        <v>50</v>
      </c>
      <c r="J124" s="15" t="str">
        <f>'Hoja 1 - Área y fuentes'!M20</f>
        <v>Sustituir por IDEAM u otra fuente oficial</v>
      </c>
      <c r="K124" s="10" t="s">
        <v>165</v>
      </c>
      <c r="L124" s="15" t="str">
        <f>IF(G124="","FALTANTE",IF(G124&lt;0,"NEGATIVO",IF(H124&lt;&gt;"mm","UNIDAD",IF(COUNTIF($A$20:A124,A124)&gt;1,"DUPLICADO","OK"))))</f>
        <v>OK</v>
      </c>
    </row>
    <row r="125" spans="1:12" ht="22.8">
      <c r="A125" s="13">
        <v>32782</v>
      </c>
      <c r="B125" s="15">
        <v>1989</v>
      </c>
      <c r="C125" s="15">
        <v>10</v>
      </c>
      <c r="D125" s="15" t="s">
        <v>157</v>
      </c>
      <c r="E125" s="15" t="str">
        <f>'Hoja 1 - Área y fuentes'!C20</f>
        <v>Serie sintética de capacitación</v>
      </c>
      <c r="F125" s="15" t="str">
        <f>'Hoja 1 - Área y fuentes'!D20</f>
        <v>DID-001</v>
      </c>
      <c r="G125" s="12">
        <v>148.19999999999999</v>
      </c>
      <c r="H125" s="10" t="s">
        <v>56</v>
      </c>
      <c r="I125" s="10" t="s">
        <v>50</v>
      </c>
      <c r="J125" s="15" t="str">
        <f>'Hoja 1 - Área y fuentes'!M20</f>
        <v>Sustituir por IDEAM u otra fuente oficial</v>
      </c>
      <c r="K125" s="10" t="s">
        <v>165</v>
      </c>
      <c r="L125" s="15" t="str">
        <f>IF(G125="","FALTANTE",IF(G125&lt;0,"NEGATIVO",IF(H125&lt;&gt;"mm","UNIDAD",IF(COUNTIF($A$20:A125,A125)&gt;1,"DUPLICADO","OK"))))</f>
        <v>OK</v>
      </c>
    </row>
    <row r="126" spans="1:12" ht="22.8">
      <c r="A126" s="13">
        <v>32813</v>
      </c>
      <c r="B126" s="15">
        <v>1989</v>
      </c>
      <c r="C126" s="15">
        <v>11</v>
      </c>
      <c r="D126" s="15" t="s">
        <v>158</v>
      </c>
      <c r="E126" s="15" t="str">
        <f>'Hoja 1 - Área y fuentes'!C20</f>
        <v>Serie sintética de capacitación</v>
      </c>
      <c r="F126" s="15" t="str">
        <f>'Hoja 1 - Área y fuentes'!D20</f>
        <v>DID-001</v>
      </c>
      <c r="G126" s="12">
        <v>118.2</v>
      </c>
      <c r="H126" s="10" t="s">
        <v>56</v>
      </c>
      <c r="I126" s="10" t="s">
        <v>50</v>
      </c>
      <c r="J126" s="15" t="str">
        <f>'Hoja 1 - Área y fuentes'!M20</f>
        <v>Sustituir por IDEAM u otra fuente oficial</v>
      </c>
      <c r="K126" s="10" t="s">
        <v>165</v>
      </c>
      <c r="L126" s="15" t="str">
        <f>IF(G126="","FALTANTE",IF(G126&lt;0,"NEGATIVO",IF(H126&lt;&gt;"mm","UNIDAD",IF(COUNTIF($A$20:A126,A126)&gt;1,"DUPLICADO","OK"))))</f>
        <v>OK</v>
      </c>
    </row>
    <row r="127" spans="1:12" ht="22.8">
      <c r="A127" s="13">
        <v>32843</v>
      </c>
      <c r="B127" s="15">
        <v>1989</v>
      </c>
      <c r="C127" s="15">
        <v>12</v>
      </c>
      <c r="D127" s="15" t="s">
        <v>164</v>
      </c>
      <c r="E127" s="15" t="str">
        <f>'Hoja 1 - Área y fuentes'!C20</f>
        <v>Serie sintética de capacitación</v>
      </c>
      <c r="F127" s="15" t="str">
        <f>'Hoja 1 - Área y fuentes'!D20</f>
        <v>DID-001</v>
      </c>
      <c r="G127" s="12">
        <v>75.099999999999994</v>
      </c>
      <c r="H127" s="10" t="s">
        <v>56</v>
      </c>
      <c r="I127" s="10" t="s">
        <v>50</v>
      </c>
      <c r="J127" s="15" t="str">
        <f>'Hoja 1 - Área y fuentes'!M20</f>
        <v>Sustituir por IDEAM u otra fuente oficial</v>
      </c>
      <c r="K127" s="10" t="s">
        <v>165</v>
      </c>
      <c r="L127" s="15" t="str">
        <f>IF(G127="","FALTANTE",IF(G127&lt;0,"NEGATIVO",IF(H127&lt;&gt;"mm","UNIDAD",IF(COUNTIF($A$20:A127,A127)&gt;1,"DUPLICADO","OK"))))</f>
        <v>OK</v>
      </c>
    </row>
    <row r="128" spans="1:12" ht="22.8">
      <c r="A128" s="13">
        <v>32874</v>
      </c>
      <c r="B128" s="15">
        <v>1990</v>
      </c>
      <c r="C128" s="15">
        <v>1</v>
      </c>
      <c r="D128" s="15" t="s">
        <v>134</v>
      </c>
      <c r="E128" s="15" t="str">
        <f>'Hoja 1 - Área y fuentes'!C20</f>
        <v>Serie sintética de capacitación</v>
      </c>
      <c r="F128" s="15" t="str">
        <f>'Hoja 1 - Área y fuentes'!D20</f>
        <v>DID-001</v>
      </c>
      <c r="G128" s="12">
        <v>61.3</v>
      </c>
      <c r="H128" s="10" t="s">
        <v>56</v>
      </c>
      <c r="I128" s="10" t="s">
        <v>50</v>
      </c>
      <c r="J128" s="15" t="str">
        <f>'Hoja 1 - Área y fuentes'!M20</f>
        <v>Sustituir por IDEAM u otra fuente oficial</v>
      </c>
      <c r="K128" s="10" t="s">
        <v>165</v>
      </c>
      <c r="L128" s="15" t="str">
        <f>IF(G128="","FALTANTE",IF(G128&lt;0,"NEGATIVO",IF(H128&lt;&gt;"mm","UNIDAD",IF(COUNTIF($A$20:A128,A128)&gt;1,"DUPLICADO","OK"))))</f>
        <v>OK</v>
      </c>
    </row>
    <row r="129" spans="1:12" ht="22.8">
      <c r="A129" s="13">
        <v>32905</v>
      </c>
      <c r="B129" s="15">
        <v>1990</v>
      </c>
      <c r="C129" s="15">
        <v>2</v>
      </c>
      <c r="D129" s="15" t="s">
        <v>141</v>
      </c>
      <c r="E129" s="15" t="str">
        <f>'Hoja 1 - Área y fuentes'!C20</f>
        <v>Serie sintética de capacitación</v>
      </c>
      <c r="F129" s="15" t="str">
        <f>'Hoja 1 - Área y fuentes'!D20</f>
        <v>DID-001</v>
      </c>
      <c r="G129" s="12">
        <v>69.599999999999994</v>
      </c>
      <c r="H129" s="10" t="s">
        <v>56</v>
      </c>
      <c r="I129" s="10" t="s">
        <v>50</v>
      </c>
      <c r="J129" s="15" t="str">
        <f>'Hoja 1 - Área y fuentes'!M20</f>
        <v>Sustituir por IDEAM u otra fuente oficial</v>
      </c>
      <c r="K129" s="10" t="s">
        <v>165</v>
      </c>
      <c r="L129" s="15" t="str">
        <f>IF(G129="","FALTANTE",IF(G129&lt;0,"NEGATIVO",IF(H129&lt;&gt;"mm","UNIDAD",IF(COUNTIF($A$20:A129,A129)&gt;1,"DUPLICADO","OK"))))</f>
        <v>OK</v>
      </c>
    </row>
    <row r="130" spans="1:12" ht="22.8">
      <c r="A130" s="13">
        <v>32933</v>
      </c>
      <c r="B130" s="15">
        <v>1990</v>
      </c>
      <c r="C130" s="15">
        <v>3</v>
      </c>
      <c r="D130" s="15" t="s">
        <v>148</v>
      </c>
      <c r="E130" s="15" t="str">
        <f>'Hoja 1 - Área y fuentes'!C20</f>
        <v>Serie sintética de capacitación</v>
      </c>
      <c r="F130" s="15" t="str">
        <f>'Hoja 1 - Área y fuentes'!D20</f>
        <v>DID-001</v>
      </c>
      <c r="G130" s="12">
        <v>98.5</v>
      </c>
      <c r="H130" s="10" t="s">
        <v>56</v>
      </c>
      <c r="I130" s="10" t="s">
        <v>50</v>
      </c>
      <c r="J130" s="15" t="str">
        <f>'Hoja 1 - Área y fuentes'!M20</f>
        <v>Sustituir por IDEAM u otra fuente oficial</v>
      </c>
      <c r="K130" s="10" t="s">
        <v>165</v>
      </c>
      <c r="L130" s="15" t="str">
        <f>IF(G130="","FALTANTE",IF(G130&lt;0,"NEGATIVO",IF(H130&lt;&gt;"mm","UNIDAD",IF(COUNTIF($A$20:A130,A130)&gt;1,"DUPLICADO","OK"))))</f>
        <v>OK</v>
      </c>
    </row>
    <row r="131" spans="1:12" ht="22.8">
      <c r="A131" s="13">
        <v>32964</v>
      </c>
      <c r="B131" s="15">
        <v>1990</v>
      </c>
      <c r="C131" s="15">
        <v>4</v>
      </c>
      <c r="D131" s="15" t="s">
        <v>149</v>
      </c>
      <c r="E131" s="15" t="str">
        <f>'Hoja 1 - Área y fuentes'!C20</f>
        <v>Serie sintética de capacitación</v>
      </c>
      <c r="F131" s="15" t="str">
        <f>'Hoja 1 - Área y fuentes'!D20</f>
        <v>DID-001</v>
      </c>
      <c r="G131" s="12">
        <v>149.6</v>
      </c>
      <c r="H131" s="10" t="s">
        <v>56</v>
      </c>
      <c r="I131" s="10" t="s">
        <v>50</v>
      </c>
      <c r="J131" s="15" t="str">
        <f>'Hoja 1 - Área y fuentes'!M20</f>
        <v>Sustituir por IDEAM u otra fuente oficial</v>
      </c>
      <c r="K131" s="10" t="s">
        <v>165</v>
      </c>
      <c r="L131" s="15" t="str">
        <f>IF(G131="","FALTANTE",IF(G131&lt;0,"NEGATIVO",IF(H131&lt;&gt;"mm","UNIDAD",IF(COUNTIF($A$20:A131,A131)&gt;1,"DUPLICADO","OK"))))</f>
        <v>OK</v>
      </c>
    </row>
    <row r="132" spans="1:12" ht="22.8">
      <c r="A132" s="13">
        <v>32994</v>
      </c>
      <c r="B132" s="15">
        <v>1990</v>
      </c>
      <c r="C132" s="15">
        <v>5</v>
      </c>
      <c r="D132" s="15" t="s">
        <v>151</v>
      </c>
      <c r="E132" s="15" t="str">
        <f>'Hoja 1 - Área y fuentes'!C20</f>
        <v>Serie sintética de capacitación</v>
      </c>
      <c r="F132" s="15" t="str">
        <f>'Hoja 1 - Área y fuentes'!D20</f>
        <v>DID-001</v>
      </c>
      <c r="G132" s="12">
        <v>123</v>
      </c>
      <c r="H132" s="10" t="s">
        <v>56</v>
      </c>
      <c r="I132" s="10" t="s">
        <v>50</v>
      </c>
      <c r="J132" s="15" t="str">
        <f>'Hoja 1 - Área y fuentes'!M20</f>
        <v>Sustituir por IDEAM u otra fuente oficial</v>
      </c>
      <c r="K132" s="10" t="s">
        <v>165</v>
      </c>
      <c r="L132" s="15" t="str">
        <f>IF(G132="","FALTANTE",IF(G132&lt;0,"NEGATIVO",IF(H132&lt;&gt;"mm","UNIDAD",IF(COUNTIF($A$20:A132,A132)&gt;1,"DUPLICADO","OK"))))</f>
        <v>OK</v>
      </c>
    </row>
    <row r="133" spans="1:12" ht="22.8">
      <c r="A133" s="13">
        <v>33025</v>
      </c>
      <c r="B133" s="15">
        <v>1990</v>
      </c>
      <c r="C133" s="15">
        <v>6</v>
      </c>
      <c r="D133" s="15" t="s">
        <v>152</v>
      </c>
      <c r="E133" s="15" t="str">
        <f>'Hoja 1 - Área y fuentes'!C20</f>
        <v>Serie sintética de capacitación</v>
      </c>
      <c r="F133" s="15" t="str">
        <f>'Hoja 1 - Área y fuentes'!D20</f>
        <v>DID-001</v>
      </c>
      <c r="G133" s="12">
        <v>81.2</v>
      </c>
      <c r="H133" s="10" t="s">
        <v>56</v>
      </c>
      <c r="I133" s="10" t="s">
        <v>50</v>
      </c>
      <c r="J133" s="15" t="str">
        <f>'Hoja 1 - Área y fuentes'!M20</f>
        <v>Sustituir por IDEAM u otra fuente oficial</v>
      </c>
      <c r="K133" s="10" t="s">
        <v>165</v>
      </c>
      <c r="L133" s="15" t="str">
        <f>IF(G133="","FALTANTE",IF(G133&lt;0,"NEGATIVO",IF(H133&lt;&gt;"mm","UNIDAD",IF(COUNTIF($A$20:A133,A133)&gt;1,"DUPLICADO","OK"))))</f>
        <v>OK</v>
      </c>
    </row>
    <row r="134" spans="1:12" ht="22.8">
      <c r="A134" s="13">
        <v>33055</v>
      </c>
      <c r="B134" s="15">
        <v>1990</v>
      </c>
      <c r="C134" s="15">
        <v>7</v>
      </c>
      <c r="D134" s="15" t="s">
        <v>153</v>
      </c>
      <c r="E134" s="15" t="str">
        <f>'Hoja 1 - Área y fuentes'!C20</f>
        <v>Serie sintética de capacitación</v>
      </c>
      <c r="F134" s="15" t="str">
        <f>'Hoja 1 - Área y fuentes'!D20</f>
        <v>DID-001</v>
      </c>
      <c r="G134" s="12">
        <v>63.8</v>
      </c>
      <c r="H134" s="10" t="s">
        <v>56</v>
      </c>
      <c r="I134" s="10" t="s">
        <v>50</v>
      </c>
      <c r="J134" s="15" t="str">
        <f>'Hoja 1 - Área y fuentes'!M20</f>
        <v>Sustituir por IDEAM u otra fuente oficial</v>
      </c>
      <c r="K134" s="10" t="s">
        <v>165</v>
      </c>
      <c r="L134" s="15" t="str">
        <f>IF(G134="","FALTANTE",IF(G134&lt;0,"NEGATIVO",IF(H134&lt;&gt;"mm","UNIDAD",IF(COUNTIF($A$20:A134,A134)&gt;1,"DUPLICADO","OK"))))</f>
        <v>OK</v>
      </c>
    </row>
    <row r="135" spans="1:12" ht="22.8">
      <c r="A135" s="13">
        <v>33086</v>
      </c>
      <c r="B135" s="15">
        <v>1990</v>
      </c>
      <c r="C135" s="15">
        <v>8</v>
      </c>
      <c r="D135" s="15" t="s">
        <v>154</v>
      </c>
      <c r="E135" s="15" t="str">
        <f>'Hoja 1 - Área y fuentes'!C20</f>
        <v>Serie sintética de capacitación</v>
      </c>
      <c r="F135" s="15" t="str">
        <f>'Hoja 1 - Área y fuentes'!D20</f>
        <v>DID-001</v>
      </c>
      <c r="G135" s="12">
        <v>68.2</v>
      </c>
      <c r="H135" s="10" t="s">
        <v>56</v>
      </c>
      <c r="I135" s="10" t="s">
        <v>50</v>
      </c>
      <c r="J135" s="15" t="str">
        <f>'Hoja 1 - Área y fuentes'!M20</f>
        <v>Sustituir por IDEAM u otra fuente oficial</v>
      </c>
      <c r="K135" s="10" t="s">
        <v>165</v>
      </c>
      <c r="L135" s="15" t="str">
        <f>IF(G135="","FALTANTE",IF(G135&lt;0,"NEGATIVO",IF(H135&lt;&gt;"mm","UNIDAD",IF(COUNTIF($A$20:A135,A135)&gt;1,"DUPLICADO","OK"))))</f>
        <v>OK</v>
      </c>
    </row>
    <row r="136" spans="1:12" ht="22.8">
      <c r="A136" s="13">
        <v>33117</v>
      </c>
      <c r="B136" s="15">
        <v>1990</v>
      </c>
      <c r="C136" s="15">
        <v>9</v>
      </c>
      <c r="D136" s="15" t="s">
        <v>155</v>
      </c>
      <c r="E136" s="15" t="str">
        <f>'Hoja 1 - Área y fuentes'!C20</f>
        <v>Serie sintética de capacitación</v>
      </c>
      <c r="F136" s="15" t="str">
        <f>'Hoja 1 - Área y fuentes'!D20</f>
        <v>DID-001</v>
      </c>
      <c r="G136" s="12">
        <v>114.9</v>
      </c>
      <c r="H136" s="10" t="s">
        <v>56</v>
      </c>
      <c r="I136" s="10" t="s">
        <v>50</v>
      </c>
      <c r="J136" s="15" t="str">
        <f>'Hoja 1 - Área y fuentes'!M20</f>
        <v>Sustituir por IDEAM u otra fuente oficial</v>
      </c>
      <c r="K136" s="10" t="s">
        <v>165</v>
      </c>
      <c r="L136" s="15" t="str">
        <f>IF(G136="","FALTANTE",IF(G136&lt;0,"NEGATIVO",IF(H136&lt;&gt;"mm","UNIDAD",IF(COUNTIF($A$20:A136,A136)&gt;1,"DUPLICADO","OK"))))</f>
        <v>OK</v>
      </c>
    </row>
    <row r="137" spans="1:12" ht="22.8">
      <c r="A137" s="13">
        <v>33147</v>
      </c>
      <c r="B137" s="15">
        <v>1990</v>
      </c>
      <c r="C137" s="15">
        <v>10</v>
      </c>
      <c r="D137" s="15" t="s">
        <v>157</v>
      </c>
      <c r="E137" s="15" t="str">
        <f>'Hoja 1 - Área y fuentes'!C20</f>
        <v>Serie sintética de capacitación</v>
      </c>
      <c r="F137" s="15" t="str">
        <f>'Hoja 1 - Área y fuentes'!D20</f>
        <v>DID-001</v>
      </c>
      <c r="G137" s="12">
        <v>140.5</v>
      </c>
      <c r="H137" s="10" t="s">
        <v>56</v>
      </c>
      <c r="I137" s="10" t="s">
        <v>50</v>
      </c>
      <c r="J137" s="15" t="str">
        <f>'Hoja 1 - Área y fuentes'!M20</f>
        <v>Sustituir por IDEAM u otra fuente oficial</v>
      </c>
      <c r="K137" s="10" t="s">
        <v>165</v>
      </c>
      <c r="L137" s="15" t="str">
        <f>IF(G137="","FALTANTE",IF(G137&lt;0,"NEGATIVO",IF(H137&lt;&gt;"mm","UNIDAD",IF(COUNTIF($A$20:A137,A137)&gt;1,"DUPLICADO","OK"))))</f>
        <v>OK</v>
      </c>
    </row>
    <row r="138" spans="1:12" ht="22.8">
      <c r="A138" s="13">
        <v>33178</v>
      </c>
      <c r="B138" s="15">
        <v>1990</v>
      </c>
      <c r="C138" s="15">
        <v>11</v>
      </c>
      <c r="D138" s="15" t="s">
        <v>158</v>
      </c>
      <c r="E138" s="15" t="str">
        <f>'Hoja 1 - Área y fuentes'!C20</f>
        <v>Serie sintética de capacitación</v>
      </c>
      <c r="F138" s="15" t="str">
        <f>'Hoja 1 - Área y fuentes'!D20</f>
        <v>DID-001</v>
      </c>
      <c r="G138" s="12">
        <v>130.1</v>
      </c>
      <c r="H138" s="10" t="s">
        <v>56</v>
      </c>
      <c r="I138" s="10" t="s">
        <v>50</v>
      </c>
      <c r="J138" s="15" t="str">
        <f>'Hoja 1 - Área y fuentes'!M20</f>
        <v>Sustituir por IDEAM u otra fuente oficial</v>
      </c>
      <c r="K138" s="10" t="s">
        <v>165</v>
      </c>
      <c r="L138" s="15" t="str">
        <f>IF(G138="","FALTANTE",IF(G138&lt;0,"NEGATIVO",IF(H138&lt;&gt;"mm","UNIDAD",IF(COUNTIF($A$20:A138,A138)&gt;1,"DUPLICADO","OK"))))</f>
        <v>OK</v>
      </c>
    </row>
    <row r="139" spans="1:12" ht="22.8">
      <c r="A139" s="13">
        <v>33208</v>
      </c>
      <c r="B139" s="15">
        <v>1990</v>
      </c>
      <c r="C139" s="15">
        <v>12</v>
      </c>
      <c r="D139" s="15" t="s">
        <v>164</v>
      </c>
      <c r="E139" s="15" t="str">
        <f>'Hoja 1 - Área y fuentes'!C20</f>
        <v>Serie sintética de capacitación</v>
      </c>
      <c r="F139" s="15" t="str">
        <f>'Hoja 1 - Área y fuentes'!D20</f>
        <v>DID-001</v>
      </c>
      <c r="G139" s="12">
        <v>71.8</v>
      </c>
      <c r="H139" s="10" t="s">
        <v>56</v>
      </c>
      <c r="I139" s="10" t="s">
        <v>50</v>
      </c>
      <c r="J139" s="15" t="str">
        <f>'Hoja 1 - Área y fuentes'!M20</f>
        <v>Sustituir por IDEAM u otra fuente oficial</v>
      </c>
      <c r="K139" s="10" t="s">
        <v>165</v>
      </c>
      <c r="L139" s="15" t="str">
        <f>IF(G139="","FALTANTE",IF(G139&lt;0,"NEGATIVO",IF(H139&lt;&gt;"mm","UNIDAD",IF(COUNTIF($A$20:A139,A139)&gt;1,"DUPLICADO","OK"))))</f>
        <v>OK</v>
      </c>
    </row>
    <row r="140" spans="1:12" ht="22.8">
      <c r="A140" s="13">
        <v>33239</v>
      </c>
      <c r="B140" s="15">
        <v>1991</v>
      </c>
      <c r="C140" s="15">
        <v>1</v>
      </c>
      <c r="D140" s="15" t="s">
        <v>134</v>
      </c>
      <c r="E140" s="15" t="str">
        <f>'Hoja 1 - Área y fuentes'!C20</f>
        <v>Serie sintética de capacitación</v>
      </c>
      <c r="F140" s="15" t="str">
        <f>'Hoja 1 - Área y fuentes'!D20</f>
        <v>DID-001</v>
      </c>
      <c r="G140" s="12">
        <v>67.8</v>
      </c>
      <c r="H140" s="10" t="s">
        <v>56</v>
      </c>
      <c r="I140" s="10" t="s">
        <v>50</v>
      </c>
      <c r="J140" s="15" t="str">
        <f>'Hoja 1 - Área y fuentes'!M20</f>
        <v>Sustituir por IDEAM u otra fuente oficial</v>
      </c>
      <c r="K140" s="10" t="s">
        <v>165</v>
      </c>
      <c r="L140" s="15" t="str">
        <f>IF(G140="","FALTANTE",IF(G140&lt;0,"NEGATIVO",IF(H140&lt;&gt;"mm","UNIDAD",IF(COUNTIF($A$20:A140,A140)&gt;1,"DUPLICADO","OK"))))</f>
        <v>OK</v>
      </c>
    </row>
    <row r="141" spans="1:12" ht="22.8">
      <c r="A141" s="13">
        <v>33270</v>
      </c>
      <c r="B141" s="15">
        <v>1991</v>
      </c>
      <c r="C141" s="15">
        <v>2</v>
      </c>
      <c r="D141" s="15" t="s">
        <v>141</v>
      </c>
      <c r="E141" s="15" t="str">
        <f>'Hoja 1 - Área y fuentes'!C20</f>
        <v>Serie sintética de capacitación</v>
      </c>
      <c r="F141" s="15" t="str">
        <f>'Hoja 1 - Área y fuentes'!D20</f>
        <v>DID-001</v>
      </c>
      <c r="G141" s="12">
        <v>82.4</v>
      </c>
      <c r="H141" s="10" t="s">
        <v>56</v>
      </c>
      <c r="I141" s="10" t="s">
        <v>50</v>
      </c>
      <c r="J141" s="15" t="str">
        <f>'Hoja 1 - Área y fuentes'!M20</f>
        <v>Sustituir por IDEAM u otra fuente oficial</v>
      </c>
      <c r="K141" s="10" t="s">
        <v>165</v>
      </c>
      <c r="L141" s="15" t="str">
        <f>IF(G141="","FALTANTE",IF(G141&lt;0,"NEGATIVO",IF(H141&lt;&gt;"mm","UNIDAD",IF(COUNTIF($A$20:A141,A141)&gt;1,"DUPLICADO","OK"))))</f>
        <v>OK</v>
      </c>
    </row>
    <row r="142" spans="1:12" ht="22.8">
      <c r="A142" s="13">
        <v>33298</v>
      </c>
      <c r="B142" s="15">
        <v>1991</v>
      </c>
      <c r="C142" s="15">
        <v>3</v>
      </c>
      <c r="D142" s="15" t="s">
        <v>148</v>
      </c>
      <c r="E142" s="15" t="str">
        <f>'Hoja 1 - Área y fuentes'!C20</f>
        <v>Serie sintética de capacitación</v>
      </c>
      <c r="F142" s="15" t="str">
        <f>'Hoja 1 - Área y fuentes'!D20</f>
        <v>DID-001</v>
      </c>
      <c r="G142" s="12">
        <v>112</v>
      </c>
      <c r="H142" s="10" t="s">
        <v>56</v>
      </c>
      <c r="I142" s="10" t="s">
        <v>50</v>
      </c>
      <c r="J142" s="15" t="str">
        <f>'Hoja 1 - Área y fuentes'!M20</f>
        <v>Sustituir por IDEAM u otra fuente oficial</v>
      </c>
      <c r="K142" s="10" t="s">
        <v>165</v>
      </c>
      <c r="L142" s="15" t="str">
        <f>IF(G142="","FALTANTE",IF(G142&lt;0,"NEGATIVO",IF(H142&lt;&gt;"mm","UNIDAD",IF(COUNTIF($A$20:A142,A142)&gt;1,"DUPLICADO","OK"))))</f>
        <v>OK</v>
      </c>
    </row>
    <row r="143" spans="1:12" ht="22.8">
      <c r="A143" s="13">
        <v>33329</v>
      </c>
      <c r="B143" s="15">
        <v>1991</v>
      </c>
      <c r="C143" s="15">
        <v>4</v>
      </c>
      <c r="D143" s="15" t="s">
        <v>149</v>
      </c>
      <c r="E143" s="15" t="str">
        <f>'Hoja 1 - Área y fuentes'!C20</f>
        <v>Serie sintética de capacitación</v>
      </c>
      <c r="F143" s="15" t="str">
        <f>'Hoja 1 - Área y fuentes'!D20</f>
        <v>DID-001</v>
      </c>
      <c r="G143" s="12">
        <v>164.2</v>
      </c>
      <c r="H143" s="10" t="s">
        <v>56</v>
      </c>
      <c r="I143" s="10" t="s">
        <v>50</v>
      </c>
      <c r="J143" s="15" t="str">
        <f>'Hoja 1 - Área y fuentes'!M20</f>
        <v>Sustituir por IDEAM u otra fuente oficial</v>
      </c>
      <c r="K143" s="10" t="s">
        <v>165</v>
      </c>
      <c r="L143" s="15" t="str">
        <f>IF(G143="","FALTANTE",IF(G143&lt;0,"NEGATIVO",IF(H143&lt;&gt;"mm","UNIDAD",IF(COUNTIF($A$20:A143,A143)&gt;1,"DUPLICADO","OK"))))</f>
        <v>OK</v>
      </c>
    </row>
    <row r="144" spans="1:12" ht="22.8">
      <c r="A144" s="13">
        <v>33359</v>
      </c>
      <c r="B144" s="15">
        <v>1991</v>
      </c>
      <c r="C144" s="15">
        <v>5</v>
      </c>
      <c r="D144" s="15" t="s">
        <v>151</v>
      </c>
      <c r="E144" s="15" t="str">
        <f>'Hoja 1 - Área y fuentes'!C20</f>
        <v>Serie sintética de capacitación</v>
      </c>
      <c r="F144" s="15" t="str">
        <f>'Hoja 1 - Área y fuentes'!D20</f>
        <v>DID-001</v>
      </c>
      <c r="G144" s="12">
        <v>152.6</v>
      </c>
      <c r="H144" s="10" t="s">
        <v>56</v>
      </c>
      <c r="I144" s="10" t="s">
        <v>50</v>
      </c>
      <c r="J144" s="15" t="str">
        <f>'Hoja 1 - Área y fuentes'!M20</f>
        <v>Sustituir por IDEAM u otra fuente oficial</v>
      </c>
      <c r="K144" s="10" t="s">
        <v>165</v>
      </c>
      <c r="L144" s="15" t="str">
        <f>IF(G144="","FALTANTE",IF(G144&lt;0,"NEGATIVO",IF(H144&lt;&gt;"mm","UNIDAD",IF(COUNTIF($A$20:A144,A144)&gt;1,"DUPLICADO","OK"))))</f>
        <v>OK</v>
      </c>
    </row>
    <row r="145" spans="1:12" ht="22.8">
      <c r="A145" s="13">
        <v>33390</v>
      </c>
      <c r="B145" s="15">
        <v>1991</v>
      </c>
      <c r="C145" s="15">
        <v>6</v>
      </c>
      <c r="D145" s="15" t="s">
        <v>152</v>
      </c>
      <c r="E145" s="15" t="str">
        <f>'Hoja 1 - Área y fuentes'!C20</f>
        <v>Serie sintética de capacitación</v>
      </c>
      <c r="F145" s="15" t="str">
        <f>'Hoja 1 - Área y fuentes'!D20</f>
        <v>DID-001</v>
      </c>
      <c r="G145" s="12">
        <v>86</v>
      </c>
      <c r="H145" s="10" t="s">
        <v>56</v>
      </c>
      <c r="I145" s="10" t="s">
        <v>50</v>
      </c>
      <c r="J145" s="15" t="str">
        <f>'Hoja 1 - Área y fuentes'!M20</f>
        <v>Sustituir por IDEAM u otra fuente oficial</v>
      </c>
      <c r="K145" s="10" t="s">
        <v>165</v>
      </c>
      <c r="L145" s="15" t="str">
        <f>IF(G145="","FALTANTE",IF(G145&lt;0,"NEGATIVO",IF(H145&lt;&gt;"mm","UNIDAD",IF(COUNTIF($A$20:A145,A145)&gt;1,"DUPLICADO","OK"))))</f>
        <v>OK</v>
      </c>
    </row>
    <row r="146" spans="1:12" ht="22.8">
      <c r="A146" s="13">
        <v>33420</v>
      </c>
      <c r="B146" s="15">
        <v>1991</v>
      </c>
      <c r="C146" s="15">
        <v>7</v>
      </c>
      <c r="D146" s="15" t="s">
        <v>153</v>
      </c>
      <c r="E146" s="15" t="str">
        <f>'Hoja 1 - Área y fuentes'!C20</f>
        <v>Serie sintética de capacitación</v>
      </c>
      <c r="F146" s="15" t="str">
        <f>'Hoja 1 - Área y fuentes'!D20</f>
        <v>DID-001</v>
      </c>
      <c r="G146" s="12">
        <v>75.2</v>
      </c>
      <c r="H146" s="10" t="s">
        <v>56</v>
      </c>
      <c r="I146" s="10" t="s">
        <v>50</v>
      </c>
      <c r="J146" s="15" t="str">
        <f>'Hoja 1 - Área y fuentes'!M20</f>
        <v>Sustituir por IDEAM u otra fuente oficial</v>
      </c>
      <c r="K146" s="10" t="s">
        <v>165</v>
      </c>
      <c r="L146" s="15" t="str">
        <f>IF(G146="","FALTANTE",IF(G146&lt;0,"NEGATIVO",IF(H146&lt;&gt;"mm","UNIDAD",IF(COUNTIF($A$20:A146,A146)&gt;1,"DUPLICADO","OK"))))</f>
        <v>OK</v>
      </c>
    </row>
    <row r="147" spans="1:12" ht="22.8">
      <c r="A147" s="13">
        <v>33451</v>
      </c>
      <c r="B147" s="15">
        <v>1991</v>
      </c>
      <c r="C147" s="15">
        <v>8</v>
      </c>
      <c r="D147" s="15" t="s">
        <v>154</v>
      </c>
      <c r="E147" s="15" t="str">
        <f>'Hoja 1 - Área y fuentes'!C20</f>
        <v>Serie sintética de capacitación</v>
      </c>
      <c r="F147" s="15" t="str">
        <f>'Hoja 1 - Área y fuentes'!D20</f>
        <v>DID-001</v>
      </c>
      <c r="G147" s="12">
        <v>80.8</v>
      </c>
      <c r="H147" s="10" t="s">
        <v>56</v>
      </c>
      <c r="I147" s="10" t="s">
        <v>50</v>
      </c>
      <c r="J147" s="15" t="str">
        <f>'Hoja 1 - Área y fuentes'!M20</f>
        <v>Sustituir por IDEAM u otra fuente oficial</v>
      </c>
      <c r="K147" s="10" t="s">
        <v>165</v>
      </c>
      <c r="L147" s="15" t="str">
        <f>IF(G147="","FALTANTE",IF(G147&lt;0,"NEGATIVO",IF(H147&lt;&gt;"mm","UNIDAD",IF(COUNTIF($A$20:A147,A147)&gt;1,"DUPLICADO","OK"))))</f>
        <v>OK</v>
      </c>
    </row>
    <row r="148" spans="1:12" ht="22.8">
      <c r="A148" s="13">
        <v>33482</v>
      </c>
      <c r="B148" s="15">
        <v>1991</v>
      </c>
      <c r="C148" s="15">
        <v>9</v>
      </c>
      <c r="D148" s="15" t="s">
        <v>155</v>
      </c>
      <c r="E148" s="15" t="str">
        <f>'Hoja 1 - Área y fuentes'!C20</f>
        <v>Serie sintética de capacitación</v>
      </c>
      <c r="F148" s="15" t="str">
        <f>'Hoja 1 - Área y fuentes'!D20</f>
        <v>DID-001</v>
      </c>
      <c r="G148" s="12">
        <v>121.4</v>
      </c>
      <c r="H148" s="10" t="s">
        <v>56</v>
      </c>
      <c r="I148" s="10" t="s">
        <v>50</v>
      </c>
      <c r="J148" s="15" t="str">
        <f>'Hoja 1 - Área y fuentes'!M20</f>
        <v>Sustituir por IDEAM u otra fuente oficial</v>
      </c>
      <c r="K148" s="10" t="s">
        <v>165</v>
      </c>
      <c r="L148" s="15" t="str">
        <f>IF(G148="","FALTANTE",IF(G148&lt;0,"NEGATIVO",IF(H148&lt;&gt;"mm","UNIDAD",IF(COUNTIF($A$20:A148,A148)&gt;1,"DUPLICADO","OK"))))</f>
        <v>OK</v>
      </c>
    </row>
    <row r="149" spans="1:12" ht="22.8">
      <c r="A149" s="13">
        <v>33512</v>
      </c>
      <c r="B149" s="15">
        <v>1991</v>
      </c>
      <c r="C149" s="15">
        <v>10</v>
      </c>
      <c r="D149" s="15" t="s">
        <v>157</v>
      </c>
      <c r="E149" s="15" t="str">
        <f>'Hoja 1 - Área y fuentes'!C20</f>
        <v>Serie sintética de capacitación</v>
      </c>
      <c r="F149" s="15" t="str">
        <f>'Hoja 1 - Área y fuentes'!D20</f>
        <v>DID-001</v>
      </c>
      <c r="G149" s="12">
        <v>174</v>
      </c>
      <c r="H149" s="10" t="s">
        <v>56</v>
      </c>
      <c r="I149" s="10" t="s">
        <v>50</v>
      </c>
      <c r="J149" s="15" t="str">
        <f>'Hoja 1 - Área y fuentes'!M20</f>
        <v>Sustituir por IDEAM u otra fuente oficial</v>
      </c>
      <c r="K149" s="10" t="s">
        <v>165</v>
      </c>
      <c r="L149" s="15" t="str">
        <f>IF(G149="","FALTANTE",IF(G149&lt;0,"NEGATIVO",IF(H149&lt;&gt;"mm","UNIDAD",IF(COUNTIF($A$20:A149,A149)&gt;1,"DUPLICADO","OK"))))</f>
        <v>OK</v>
      </c>
    </row>
    <row r="150" spans="1:12" ht="22.8">
      <c r="A150" s="13">
        <v>33543</v>
      </c>
      <c r="B150" s="15">
        <v>1991</v>
      </c>
      <c r="C150" s="15">
        <v>11</v>
      </c>
      <c r="D150" s="15" t="s">
        <v>158</v>
      </c>
      <c r="E150" s="15" t="str">
        <f>'Hoja 1 - Área y fuentes'!C20</f>
        <v>Serie sintética de capacitación</v>
      </c>
      <c r="F150" s="15" t="str">
        <f>'Hoja 1 - Área y fuentes'!D20</f>
        <v>DID-001</v>
      </c>
      <c r="G150" s="12">
        <v>143.4</v>
      </c>
      <c r="H150" s="10" t="s">
        <v>56</v>
      </c>
      <c r="I150" s="10" t="s">
        <v>50</v>
      </c>
      <c r="J150" s="15" t="str">
        <f>'Hoja 1 - Área y fuentes'!M20</f>
        <v>Sustituir por IDEAM u otra fuente oficial</v>
      </c>
      <c r="K150" s="10" t="s">
        <v>165</v>
      </c>
      <c r="L150" s="15" t="str">
        <f>IF(G150="","FALTANTE",IF(G150&lt;0,"NEGATIVO",IF(H150&lt;&gt;"mm","UNIDAD",IF(COUNTIF($A$20:A150,A150)&gt;1,"DUPLICADO","OK"))))</f>
        <v>OK</v>
      </c>
    </row>
    <row r="151" spans="1:12" ht="22.8">
      <c r="A151" s="13">
        <v>33573</v>
      </c>
      <c r="B151" s="15">
        <v>1991</v>
      </c>
      <c r="C151" s="15">
        <v>12</v>
      </c>
      <c r="D151" s="15" t="s">
        <v>164</v>
      </c>
      <c r="E151" s="15" t="str">
        <f>'Hoja 1 - Área y fuentes'!C20</f>
        <v>Serie sintética de capacitación</v>
      </c>
      <c r="F151" s="15" t="str">
        <f>'Hoja 1 - Área y fuentes'!D20</f>
        <v>DID-001</v>
      </c>
      <c r="G151" s="12">
        <v>81.3</v>
      </c>
      <c r="H151" s="10" t="s">
        <v>56</v>
      </c>
      <c r="I151" s="10" t="s">
        <v>50</v>
      </c>
      <c r="J151" s="15" t="str">
        <f>'Hoja 1 - Área y fuentes'!M20</f>
        <v>Sustituir por IDEAM u otra fuente oficial</v>
      </c>
      <c r="K151" s="10" t="s">
        <v>165</v>
      </c>
      <c r="L151" s="15" t="str">
        <f>IF(G151="","FALTANTE",IF(G151&lt;0,"NEGATIVO",IF(H151&lt;&gt;"mm","UNIDAD",IF(COUNTIF($A$20:A151,A151)&gt;1,"DUPLICADO","OK"))))</f>
        <v>OK</v>
      </c>
    </row>
    <row r="152" spans="1:12" ht="22.8">
      <c r="A152" s="13">
        <v>33604</v>
      </c>
      <c r="B152" s="15">
        <v>1992</v>
      </c>
      <c r="C152" s="15">
        <v>1</v>
      </c>
      <c r="D152" s="15" t="s">
        <v>134</v>
      </c>
      <c r="E152" s="15" t="str">
        <f>'Hoja 1 - Área y fuentes'!C20</f>
        <v>Serie sintética de capacitación</v>
      </c>
      <c r="F152" s="15" t="str">
        <f>'Hoja 1 - Área y fuentes'!D20</f>
        <v>DID-001</v>
      </c>
      <c r="G152" s="12">
        <v>69.400000000000006</v>
      </c>
      <c r="H152" s="10" t="s">
        <v>56</v>
      </c>
      <c r="I152" s="10" t="s">
        <v>50</v>
      </c>
      <c r="J152" s="15" t="str">
        <f>'Hoja 1 - Área y fuentes'!M20</f>
        <v>Sustituir por IDEAM u otra fuente oficial</v>
      </c>
      <c r="K152" s="10" t="s">
        <v>165</v>
      </c>
      <c r="L152" s="15" t="str">
        <f>IF(G152="","FALTANTE",IF(G152&lt;0,"NEGATIVO",IF(H152&lt;&gt;"mm","UNIDAD",IF(COUNTIF($A$20:A152,A152)&gt;1,"DUPLICADO","OK"))))</f>
        <v>OK</v>
      </c>
    </row>
    <row r="153" spans="1:12" ht="22.8">
      <c r="A153" s="13">
        <v>33635</v>
      </c>
      <c r="B153" s="15">
        <v>1992</v>
      </c>
      <c r="C153" s="15">
        <v>2</v>
      </c>
      <c r="D153" s="15" t="s">
        <v>141</v>
      </c>
      <c r="E153" s="15" t="str">
        <f>'Hoja 1 - Área y fuentes'!C20</f>
        <v>Serie sintética de capacitación</v>
      </c>
      <c r="F153" s="15" t="str">
        <f>'Hoja 1 - Área y fuentes'!D20</f>
        <v>DID-001</v>
      </c>
      <c r="G153" s="12">
        <v>85.4</v>
      </c>
      <c r="H153" s="10" t="s">
        <v>56</v>
      </c>
      <c r="I153" s="10" t="s">
        <v>50</v>
      </c>
      <c r="J153" s="15" t="str">
        <f>'Hoja 1 - Área y fuentes'!M20</f>
        <v>Sustituir por IDEAM u otra fuente oficial</v>
      </c>
      <c r="K153" s="10" t="s">
        <v>165</v>
      </c>
      <c r="L153" s="15" t="str">
        <f>IF(G153="","FALTANTE",IF(G153&lt;0,"NEGATIVO",IF(H153&lt;&gt;"mm","UNIDAD",IF(COUNTIF($A$20:A153,A153)&gt;1,"DUPLICADO","OK"))))</f>
        <v>OK</v>
      </c>
    </row>
    <row r="154" spans="1:12" ht="22.8">
      <c r="A154" s="13">
        <v>33664</v>
      </c>
      <c r="B154" s="15">
        <v>1992</v>
      </c>
      <c r="C154" s="15">
        <v>3</v>
      </c>
      <c r="D154" s="15" t="s">
        <v>148</v>
      </c>
      <c r="E154" s="15" t="str">
        <f>'Hoja 1 - Área y fuentes'!C20</f>
        <v>Serie sintética de capacitación</v>
      </c>
      <c r="F154" s="15" t="str">
        <f>'Hoja 1 - Área y fuentes'!D20</f>
        <v>DID-001</v>
      </c>
      <c r="G154" s="12">
        <v>123.9</v>
      </c>
      <c r="H154" s="10" t="s">
        <v>56</v>
      </c>
      <c r="I154" s="10" t="s">
        <v>50</v>
      </c>
      <c r="J154" s="15" t="str">
        <f>'Hoja 1 - Área y fuentes'!M20</f>
        <v>Sustituir por IDEAM u otra fuente oficial</v>
      </c>
      <c r="K154" s="10" t="s">
        <v>165</v>
      </c>
      <c r="L154" s="15" t="str">
        <f>IF(G154="","FALTANTE",IF(G154&lt;0,"NEGATIVO",IF(H154&lt;&gt;"mm","UNIDAD",IF(COUNTIF($A$20:A154,A154)&gt;1,"DUPLICADO","OK"))))</f>
        <v>OK</v>
      </c>
    </row>
    <row r="155" spans="1:12" ht="22.8">
      <c r="A155" s="13">
        <v>33695</v>
      </c>
      <c r="B155" s="15">
        <v>1992</v>
      </c>
      <c r="C155" s="15">
        <v>4</v>
      </c>
      <c r="D155" s="15" t="s">
        <v>149</v>
      </c>
      <c r="E155" s="15" t="str">
        <f>'Hoja 1 - Área y fuentes'!C20</f>
        <v>Serie sintética de capacitación</v>
      </c>
      <c r="F155" s="15" t="str">
        <f>'Hoja 1 - Área y fuentes'!D20</f>
        <v>DID-001</v>
      </c>
      <c r="G155" s="12">
        <v>164.6</v>
      </c>
      <c r="H155" s="10" t="s">
        <v>56</v>
      </c>
      <c r="I155" s="10" t="s">
        <v>50</v>
      </c>
      <c r="J155" s="15" t="str">
        <f>'Hoja 1 - Área y fuentes'!M20</f>
        <v>Sustituir por IDEAM u otra fuente oficial</v>
      </c>
      <c r="K155" s="10" t="s">
        <v>165</v>
      </c>
      <c r="L155" s="15" t="str">
        <f>IF(G155="","FALTANTE",IF(G155&lt;0,"NEGATIVO",IF(H155&lt;&gt;"mm","UNIDAD",IF(COUNTIF($A$20:A155,A155)&gt;1,"DUPLICADO","OK"))))</f>
        <v>OK</v>
      </c>
    </row>
    <row r="156" spans="1:12" ht="22.8">
      <c r="A156" s="13">
        <v>33725</v>
      </c>
      <c r="B156" s="15">
        <v>1992</v>
      </c>
      <c r="C156" s="15">
        <v>5</v>
      </c>
      <c r="D156" s="15" t="s">
        <v>151</v>
      </c>
      <c r="E156" s="15" t="str">
        <f>'Hoja 1 - Área y fuentes'!C20</f>
        <v>Serie sintética de capacitación</v>
      </c>
      <c r="F156" s="15" t="str">
        <f>'Hoja 1 - Área y fuentes'!D20</f>
        <v>DID-001</v>
      </c>
      <c r="G156" s="12">
        <v>155.19999999999999</v>
      </c>
      <c r="H156" s="10" t="s">
        <v>56</v>
      </c>
      <c r="I156" s="10" t="s">
        <v>50</v>
      </c>
      <c r="J156" s="15" t="str">
        <f>'Hoja 1 - Área y fuentes'!M20</f>
        <v>Sustituir por IDEAM u otra fuente oficial</v>
      </c>
      <c r="K156" s="10" t="s">
        <v>165</v>
      </c>
      <c r="L156" s="15" t="str">
        <f>IF(G156="","FALTANTE",IF(G156&lt;0,"NEGATIVO",IF(H156&lt;&gt;"mm","UNIDAD",IF(COUNTIF($A$20:A156,A156)&gt;1,"DUPLICADO","OK"))))</f>
        <v>OK</v>
      </c>
    </row>
    <row r="157" spans="1:12" ht="22.8">
      <c r="A157" s="13">
        <v>33756</v>
      </c>
      <c r="B157" s="15">
        <v>1992</v>
      </c>
      <c r="C157" s="15">
        <v>6</v>
      </c>
      <c r="D157" s="15" t="s">
        <v>152</v>
      </c>
      <c r="E157" s="15" t="str">
        <f>'Hoja 1 - Área y fuentes'!C20</f>
        <v>Serie sintética de capacitación</v>
      </c>
      <c r="F157" s="15" t="str">
        <f>'Hoja 1 - Área y fuentes'!D20</f>
        <v>DID-001</v>
      </c>
      <c r="G157" s="12">
        <v>97.6</v>
      </c>
      <c r="H157" s="10" t="s">
        <v>56</v>
      </c>
      <c r="I157" s="10" t="s">
        <v>50</v>
      </c>
      <c r="J157" s="15" t="str">
        <f>'Hoja 1 - Área y fuentes'!M20</f>
        <v>Sustituir por IDEAM u otra fuente oficial</v>
      </c>
      <c r="K157" s="10" t="s">
        <v>165</v>
      </c>
      <c r="L157" s="15" t="str">
        <f>IF(G157="","FALTANTE",IF(G157&lt;0,"NEGATIVO",IF(H157&lt;&gt;"mm","UNIDAD",IF(COUNTIF($A$20:A157,A157)&gt;1,"DUPLICADO","OK"))))</f>
        <v>OK</v>
      </c>
    </row>
    <row r="158" spans="1:12" ht="22.8">
      <c r="A158" s="13">
        <v>33786</v>
      </c>
      <c r="B158" s="15">
        <v>1992</v>
      </c>
      <c r="C158" s="15">
        <v>7</v>
      </c>
      <c r="D158" s="15" t="s">
        <v>153</v>
      </c>
      <c r="E158" s="15" t="str">
        <f>'Hoja 1 - Área y fuentes'!C20</f>
        <v>Serie sintética de capacitación</v>
      </c>
      <c r="F158" s="15" t="str">
        <f>'Hoja 1 - Área y fuentes'!D20</f>
        <v>DID-001</v>
      </c>
      <c r="G158" s="12">
        <v>75.599999999999994</v>
      </c>
      <c r="H158" s="10" t="s">
        <v>56</v>
      </c>
      <c r="I158" s="10" t="s">
        <v>50</v>
      </c>
      <c r="J158" s="15" t="str">
        <f>'Hoja 1 - Área y fuentes'!M20</f>
        <v>Sustituir por IDEAM u otra fuente oficial</v>
      </c>
      <c r="K158" s="10" t="s">
        <v>165</v>
      </c>
      <c r="L158" s="15" t="str">
        <f>IF(G158="","FALTANTE",IF(G158&lt;0,"NEGATIVO",IF(H158&lt;&gt;"mm","UNIDAD",IF(COUNTIF($A$20:A158,A158)&gt;1,"DUPLICADO","OK"))))</f>
        <v>OK</v>
      </c>
    </row>
    <row r="159" spans="1:12" ht="22.8">
      <c r="A159" s="13">
        <v>33817</v>
      </c>
      <c r="B159" s="15">
        <v>1992</v>
      </c>
      <c r="C159" s="15">
        <v>8</v>
      </c>
      <c r="D159" s="15" t="s">
        <v>154</v>
      </c>
      <c r="E159" s="15" t="str">
        <f>'Hoja 1 - Área y fuentes'!C20</f>
        <v>Serie sintética de capacitación</v>
      </c>
      <c r="F159" s="15" t="str">
        <f>'Hoja 1 - Área y fuentes'!D20</f>
        <v>DID-001</v>
      </c>
      <c r="G159" s="12">
        <v>80.8</v>
      </c>
      <c r="H159" s="10" t="s">
        <v>56</v>
      </c>
      <c r="I159" s="10" t="s">
        <v>50</v>
      </c>
      <c r="J159" s="15" t="str">
        <f>'Hoja 1 - Área y fuentes'!M20</f>
        <v>Sustituir por IDEAM u otra fuente oficial</v>
      </c>
      <c r="K159" s="10" t="s">
        <v>165</v>
      </c>
      <c r="L159" s="15" t="str">
        <f>IF(G159="","FALTANTE",IF(G159&lt;0,"NEGATIVO",IF(H159&lt;&gt;"mm","UNIDAD",IF(COUNTIF($A$20:A159,A159)&gt;1,"DUPLICADO","OK"))))</f>
        <v>OK</v>
      </c>
    </row>
    <row r="160" spans="1:12" ht="22.8">
      <c r="A160" s="13">
        <v>33848</v>
      </c>
      <c r="B160" s="15">
        <v>1992</v>
      </c>
      <c r="C160" s="15">
        <v>9</v>
      </c>
      <c r="D160" s="15" t="s">
        <v>155</v>
      </c>
      <c r="E160" s="15" t="str">
        <f>'Hoja 1 - Área y fuentes'!C20</f>
        <v>Serie sintética de capacitación</v>
      </c>
      <c r="F160" s="15" t="str">
        <f>'Hoja 1 - Área y fuentes'!D20</f>
        <v>DID-001</v>
      </c>
      <c r="G160" s="12">
        <v>137.6</v>
      </c>
      <c r="H160" s="10" t="s">
        <v>56</v>
      </c>
      <c r="I160" s="10" t="s">
        <v>50</v>
      </c>
      <c r="J160" s="15" t="str">
        <f>'Hoja 1 - Área y fuentes'!M20</f>
        <v>Sustituir por IDEAM u otra fuente oficial</v>
      </c>
      <c r="K160" s="10" t="s">
        <v>165</v>
      </c>
      <c r="L160" s="15" t="str">
        <f>IF(G160="","FALTANTE",IF(G160&lt;0,"NEGATIVO",IF(H160&lt;&gt;"mm","UNIDAD",IF(COUNTIF($A$20:A160,A160)&gt;1,"DUPLICADO","OK"))))</f>
        <v>OK</v>
      </c>
    </row>
    <row r="161" spans="1:12" ht="22.8">
      <c r="A161" s="13">
        <v>33878</v>
      </c>
      <c r="B161" s="15">
        <v>1992</v>
      </c>
      <c r="C161" s="15">
        <v>10</v>
      </c>
      <c r="D161" s="15" t="s">
        <v>157</v>
      </c>
      <c r="E161" s="15" t="str">
        <f>'Hoja 1 - Área y fuentes'!C20</f>
        <v>Serie sintética de capacitación</v>
      </c>
      <c r="F161" s="15" t="str">
        <f>'Hoja 1 - Área y fuentes'!D20</f>
        <v>DID-001</v>
      </c>
      <c r="G161" s="12">
        <v>178</v>
      </c>
      <c r="H161" s="10" t="s">
        <v>56</v>
      </c>
      <c r="I161" s="10" t="s">
        <v>50</v>
      </c>
      <c r="J161" s="15" t="str">
        <f>'Hoja 1 - Área y fuentes'!M20</f>
        <v>Sustituir por IDEAM u otra fuente oficial</v>
      </c>
      <c r="K161" s="10" t="s">
        <v>165</v>
      </c>
      <c r="L161" s="15" t="str">
        <f>IF(G161="","FALTANTE",IF(G161&lt;0,"NEGATIVO",IF(H161&lt;&gt;"mm","UNIDAD",IF(COUNTIF($A$20:A161,A161)&gt;1,"DUPLICADO","OK"))))</f>
        <v>OK</v>
      </c>
    </row>
    <row r="162" spans="1:12" ht="22.8">
      <c r="A162" s="13">
        <v>33909</v>
      </c>
      <c r="B162" s="15">
        <v>1992</v>
      </c>
      <c r="C162" s="15">
        <v>11</v>
      </c>
      <c r="D162" s="15" t="s">
        <v>158</v>
      </c>
      <c r="E162" s="15" t="str">
        <f>'Hoja 1 - Área y fuentes'!C20</f>
        <v>Serie sintética de capacitación</v>
      </c>
      <c r="F162" s="15" t="str">
        <f>'Hoja 1 - Área y fuentes'!D20</f>
        <v>DID-001</v>
      </c>
      <c r="G162" s="12">
        <v>143.30000000000001</v>
      </c>
      <c r="H162" s="10" t="s">
        <v>56</v>
      </c>
      <c r="I162" s="10" t="s">
        <v>50</v>
      </c>
      <c r="J162" s="15" t="str">
        <f>'Hoja 1 - Área y fuentes'!M20</f>
        <v>Sustituir por IDEAM u otra fuente oficial</v>
      </c>
      <c r="K162" s="10" t="s">
        <v>165</v>
      </c>
      <c r="L162" s="15" t="str">
        <f>IF(G162="","FALTANTE",IF(G162&lt;0,"NEGATIVO",IF(H162&lt;&gt;"mm","UNIDAD",IF(COUNTIF($A$20:A162,A162)&gt;1,"DUPLICADO","OK"))))</f>
        <v>OK</v>
      </c>
    </row>
    <row r="163" spans="1:12" ht="22.8">
      <c r="A163" s="13">
        <v>33939</v>
      </c>
      <c r="B163" s="15">
        <v>1992</v>
      </c>
      <c r="C163" s="15">
        <v>12</v>
      </c>
      <c r="D163" s="15" t="s">
        <v>164</v>
      </c>
      <c r="E163" s="15" t="str">
        <f>'Hoja 1 - Área y fuentes'!C20</f>
        <v>Serie sintética de capacitación</v>
      </c>
      <c r="F163" s="15" t="str">
        <f>'Hoja 1 - Área y fuentes'!D20</f>
        <v>DID-001</v>
      </c>
      <c r="G163" s="12">
        <v>89.9</v>
      </c>
      <c r="H163" s="10" t="s">
        <v>56</v>
      </c>
      <c r="I163" s="10" t="s">
        <v>50</v>
      </c>
      <c r="J163" s="15" t="str">
        <f>'Hoja 1 - Área y fuentes'!M20</f>
        <v>Sustituir por IDEAM u otra fuente oficial</v>
      </c>
      <c r="K163" s="10" t="s">
        <v>165</v>
      </c>
      <c r="L163" s="15" t="str">
        <f>IF(G163="","FALTANTE",IF(G163&lt;0,"NEGATIVO",IF(H163&lt;&gt;"mm","UNIDAD",IF(COUNTIF($A$20:A163,A163)&gt;1,"DUPLICADO","OK"))))</f>
        <v>OK</v>
      </c>
    </row>
    <row r="164" spans="1:12" ht="22.8">
      <c r="A164" s="13">
        <v>33970</v>
      </c>
      <c r="B164" s="15">
        <v>1993</v>
      </c>
      <c r="C164" s="15">
        <v>1</v>
      </c>
      <c r="D164" s="15" t="s">
        <v>134</v>
      </c>
      <c r="E164" s="15" t="str">
        <f>'Hoja 1 - Área y fuentes'!C20</f>
        <v>Serie sintética de capacitación</v>
      </c>
      <c r="F164" s="15" t="str">
        <f>'Hoja 1 - Área y fuentes'!D20</f>
        <v>DID-001</v>
      </c>
      <c r="G164" s="12">
        <v>62</v>
      </c>
      <c r="H164" s="10" t="s">
        <v>56</v>
      </c>
      <c r="I164" s="10" t="s">
        <v>50</v>
      </c>
      <c r="J164" s="15" t="str">
        <f>'Hoja 1 - Área y fuentes'!M20</f>
        <v>Sustituir por IDEAM u otra fuente oficial</v>
      </c>
      <c r="K164" s="10" t="s">
        <v>165</v>
      </c>
      <c r="L164" s="15" t="str">
        <f>IF(G164="","FALTANTE",IF(G164&lt;0,"NEGATIVO",IF(H164&lt;&gt;"mm","UNIDAD",IF(COUNTIF($A$20:A164,A164)&gt;1,"DUPLICADO","OK"))))</f>
        <v>OK</v>
      </c>
    </row>
    <row r="165" spans="1:12" ht="22.8">
      <c r="A165" s="13">
        <v>34001</v>
      </c>
      <c r="B165" s="15">
        <v>1993</v>
      </c>
      <c r="C165" s="15">
        <v>2</v>
      </c>
      <c r="D165" s="15" t="s">
        <v>141</v>
      </c>
      <c r="E165" s="15" t="str">
        <f>'Hoja 1 - Área y fuentes'!C20</f>
        <v>Serie sintética de capacitación</v>
      </c>
      <c r="F165" s="15" t="str">
        <f>'Hoja 1 - Área y fuentes'!D20</f>
        <v>DID-001</v>
      </c>
      <c r="G165" s="12">
        <v>73.900000000000006</v>
      </c>
      <c r="H165" s="10" t="s">
        <v>56</v>
      </c>
      <c r="I165" s="10" t="s">
        <v>50</v>
      </c>
      <c r="J165" s="15" t="str">
        <f>'Hoja 1 - Área y fuentes'!M20</f>
        <v>Sustituir por IDEAM u otra fuente oficial</v>
      </c>
      <c r="K165" s="10" t="s">
        <v>165</v>
      </c>
      <c r="L165" s="15" t="str">
        <f>IF(G165="","FALTANTE",IF(G165&lt;0,"NEGATIVO",IF(H165&lt;&gt;"mm","UNIDAD",IF(COUNTIF($A$20:A165,A165)&gt;1,"DUPLICADO","OK"))))</f>
        <v>OK</v>
      </c>
    </row>
    <row r="166" spans="1:12" ht="22.8">
      <c r="A166" s="13">
        <v>34029</v>
      </c>
      <c r="B166" s="15">
        <v>1993</v>
      </c>
      <c r="C166" s="15">
        <v>3</v>
      </c>
      <c r="D166" s="15" t="s">
        <v>148</v>
      </c>
      <c r="E166" s="15" t="str">
        <f>'Hoja 1 - Área y fuentes'!C20</f>
        <v>Serie sintética de capacitación</v>
      </c>
      <c r="F166" s="15" t="str">
        <f>'Hoja 1 - Área y fuentes'!D20</f>
        <v>DID-001</v>
      </c>
      <c r="G166" s="12">
        <v>114.4</v>
      </c>
      <c r="H166" s="10" t="s">
        <v>56</v>
      </c>
      <c r="I166" s="10" t="s">
        <v>50</v>
      </c>
      <c r="J166" s="15" t="str">
        <f>'Hoja 1 - Área y fuentes'!M20</f>
        <v>Sustituir por IDEAM u otra fuente oficial</v>
      </c>
      <c r="K166" s="10" t="s">
        <v>165</v>
      </c>
      <c r="L166" s="15" t="str">
        <f>IF(G166="","FALTANTE",IF(G166&lt;0,"NEGATIVO",IF(H166&lt;&gt;"mm","UNIDAD",IF(COUNTIF($A$20:A166,A166)&gt;1,"DUPLICADO","OK"))))</f>
        <v>OK</v>
      </c>
    </row>
    <row r="167" spans="1:12" ht="22.8">
      <c r="A167" s="13">
        <v>34060</v>
      </c>
      <c r="B167" s="15">
        <v>1993</v>
      </c>
      <c r="C167" s="15">
        <v>4</v>
      </c>
      <c r="D167" s="15" t="s">
        <v>149</v>
      </c>
      <c r="E167" s="15" t="str">
        <f>'Hoja 1 - Área y fuentes'!C20</f>
        <v>Serie sintética de capacitación</v>
      </c>
      <c r="F167" s="15" t="str">
        <f>'Hoja 1 - Área y fuentes'!D20</f>
        <v>DID-001</v>
      </c>
      <c r="G167" s="12">
        <v>158.1</v>
      </c>
      <c r="H167" s="10" t="s">
        <v>56</v>
      </c>
      <c r="I167" s="10" t="s">
        <v>50</v>
      </c>
      <c r="J167" s="15" t="str">
        <f>'Hoja 1 - Área y fuentes'!M20</f>
        <v>Sustituir por IDEAM u otra fuente oficial</v>
      </c>
      <c r="K167" s="10" t="s">
        <v>165</v>
      </c>
      <c r="L167" s="15" t="str">
        <f>IF(G167="","FALTANTE",IF(G167&lt;0,"NEGATIVO",IF(H167&lt;&gt;"mm","UNIDAD",IF(COUNTIF($A$20:A167,A167)&gt;1,"DUPLICADO","OK"))))</f>
        <v>OK</v>
      </c>
    </row>
    <row r="168" spans="1:12" ht="22.8">
      <c r="A168" s="13">
        <v>34090</v>
      </c>
      <c r="B168" s="15">
        <v>1993</v>
      </c>
      <c r="C168" s="15">
        <v>5</v>
      </c>
      <c r="D168" s="15" t="s">
        <v>151</v>
      </c>
      <c r="E168" s="15" t="str">
        <f>'Hoja 1 - Área y fuentes'!C20</f>
        <v>Serie sintética de capacitación</v>
      </c>
      <c r="F168" s="15" t="str">
        <f>'Hoja 1 - Área y fuentes'!D20</f>
        <v>DID-001</v>
      </c>
      <c r="G168" s="12">
        <v>134.6</v>
      </c>
      <c r="H168" s="10" t="s">
        <v>56</v>
      </c>
      <c r="I168" s="10" t="s">
        <v>50</v>
      </c>
      <c r="J168" s="15" t="str">
        <f>'Hoja 1 - Área y fuentes'!M20</f>
        <v>Sustituir por IDEAM u otra fuente oficial</v>
      </c>
      <c r="K168" s="10" t="s">
        <v>165</v>
      </c>
      <c r="L168" s="15" t="str">
        <f>IF(G168="","FALTANTE",IF(G168&lt;0,"NEGATIVO",IF(H168&lt;&gt;"mm","UNIDAD",IF(COUNTIF($A$20:A168,A168)&gt;1,"DUPLICADO","OK"))))</f>
        <v>OK</v>
      </c>
    </row>
    <row r="169" spans="1:12" ht="22.8">
      <c r="A169" s="13">
        <v>34121</v>
      </c>
      <c r="B169" s="15">
        <v>1993</v>
      </c>
      <c r="C169" s="15">
        <v>6</v>
      </c>
      <c r="D169" s="15" t="s">
        <v>152</v>
      </c>
      <c r="E169" s="15" t="str">
        <f>'Hoja 1 - Área y fuentes'!C20</f>
        <v>Serie sintética de capacitación</v>
      </c>
      <c r="F169" s="15" t="str">
        <f>'Hoja 1 - Área y fuentes'!D20</f>
        <v>DID-001</v>
      </c>
      <c r="G169" s="12">
        <v>82.5</v>
      </c>
      <c r="H169" s="10" t="s">
        <v>56</v>
      </c>
      <c r="I169" s="10" t="s">
        <v>50</v>
      </c>
      <c r="J169" s="15" t="str">
        <f>'Hoja 1 - Área y fuentes'!M20</f>
        <v>Sustituir por IDEAM u otra fuente oficial</v>
      </c>
      <c r="K169" s="10" t="s">
        <v>165</v>
      </c>
      <c r="L169" s="15" t="str">
        <f>IF(G169="","FALTANTE",IF(G169&lt;0,"NEGATIVO",IF(H169&lt;&gt;"mm","UNIDAD",IF(COUNTIF($A$20:A169,A169)&gt;1,"DUPLICADO","OK"))))</f>
        <v>OK</v>
      </c>
    </row>
    <row r="170" spans="1:12" ht="22.8">
      <c r="A170" s="13">
        <v>34151</v>
      </c>
      <c r="B170" s="15">
        <v>1993</v>
      </c>
      <c r="C170" s="15">
        <v>7</v>
      </c>
      <c r="D170" s="15" t="s">
        <v>153</v>
      </c>
      <c r="E170" s="15" t="str">
        <f>'Hoja 1 - Área y fuentes'!C20</f>
        <v>Serie sintética de capacitación</v>
      </c>
      <c r="F170" s="15" t="str">
        <f>'Hoja 1 - Área y fuentes'!D20</f>
        <v>DID-001</v>
      </c>
      <c r="G170" s="12">
        <v>72.099999999999994</v>
      </c>
      <c r="H170" s="10" t="s">
        <v>56</v>
      </c>
      <c r="I170" s="10" t="s">
        <v>50</v>
      </c>
      <c r="J170" s="15" t="str">
        <f>'Hoja 1 - Área y fuentes'!M20</f>
        <v>Sustituir por IDEAM u otra fuente oficial</v>
      </c>
      <c r="K170" s="10" t="s">
        <v>165</v>
      </c>
      <c r="L170" s="15" t="str">
        <f>IF(G170="","FALTANTE",IF(G170&lt;0,"NEGATIVO",IF(H170&lt;&gt;"mm","UNIDAD",IF(COUNTIF($A$20:A170,A170)&gt;1,"DUPLICADO","OK"))))</f>
        <v>OK</v>
      </c>
    </row>
    <row r="171" spans="1:12" ht="22.8">
      <c r="A171" s="13">
        <v>34182</v>
      </c>
      <c r="B171" s="15">
        <v>1993</v>
      </c>
      <c r="C171" s="15">
        <v>8</v>
      </c>
      <c r="D171" s="15" t="s">
        <v>154</v>
      </c>
      <c r="E171" s="15" t="str">
        <f>'Hoja 1 - Área y fuentes'!C20</f>
        <v>Serie sintética de capacitación</v>
      </c>
      <c r="F171" s="15" t="str">
        <f>'Hoja 1 - Área y fuentes'!D20</f>
        <v>DID-001</v>
      </c>
      <c r="G171" s="12">
        <v>77.5</v>
      </c>
      <c r="H171" s="10" t="s">
        <v>56</v>
      </c>
      <c r="I171" s="10" t="s">
        <v>50</v>
      </c>
      <c r="J171" s="15" t="str">
        <f>'Hoja 1 - Área y fuentes'!M20</f>
        <v>Sustituir por IDEAM u otra fuente oficial</v>
      </c>
      <c r="K171" s="10" t="s">
        <v>165</v>
      </c>
      <c r="L171" s="15" t="str">
        <f>IF(G171="","FALTANTE",IF(G171&lt;0,"NEGATIVO",IF(H171&lt;&gt;"mm","UNIDAD",IF(COUNTIF($A$20:A171,A171)&gt;1,"DUPLICADO","OK"))))</f>
        <v>OK</v>
      </c>
    </row>
    <row r="172" spans="1:12" ht="22.8">
      <c r="A172" s="13">
        <v>34213</v>
      </c>
      <c r="B172" s="15">
        <v>1993</v>
      </c>
      <c r="C172" s="15">
        <v>9</v>
      </c>
      <c r="D172" s="15" t="s">
        <v>155</v>
      </c>
      <c r="E172" s="15" t="str">
        <f>'Hoja 1 - Área y fuentes'!C20</f>
        <v>Serie sintética de capacitación</v>
      </c>
      <c r="F172" s="15" t="str">
        <f>'Hoja 1 - Área y fuentes'!D20</f>
        <v>DID-001</v>
      </c>
      <c r="G172" s="12">
        <v>116.8</v>
      </c>
      <c r="H172" s="10" t="s">
        <v>56</v>
      </c>
      <c r="I172" s="10" t="s">
        <v>50</v>
      </c>
      <c r="J172" s="15" t="str">
        <f>'Hoja 1 - Área y fuentes'!M20</f>
        <v>Sustituir por IDEAM u otra fuente oficial</v>
      </c>
      <c r="K172" s="10" t="s">
        <v>165</v>
      </c>
      <c r="L172" s="15" t="str">
        <f>IF(G172="","FALTANTE",IF(G172&lt;0,"NEGATIVO",IF(H172&lt;&gt;"mm","UNIDAD",IF(COUNTIF($A$20:A172,A172)&gt;1,"DUPLICADO","OK"))))</f>
        <v>OK</v>
      </c>
    </row>
    <row r="173" spans="1:12" ht="22.8">
      <c r="A173" s="13">
        <v>34243</v>
      </c>
      <c r="B173" s="15">
        <v>1993</v>
      </c>
      <c r="C173" s="15">
        <v>10</v>
      </c>
      <c r="D173" s="15" t="s">
        <v>157</v>
      </c>
      <c r="E173" s="15" t="str">
        <f>'Hoja 1 - Área y fuentes'!C20</f>
        <v>Serie sintética de capacitación</v>
      </c>
      <c r="F173" s="15" t="str">
        <f>'Hoja 1 - Área y fuentes'!D20</f>
        <v>DID-001</v>
      </c>
      <c r="G173" s="12">
        <v>153.5</v>
      </c>
      <c r="H173" s="10" t="s">
        <v>56</v>
      </c>
      <c r="I173" s="10" t="s">
        <v>50</v>
      </c>
      <c r="J173" s="15" t="str">
        <f>'Hoja 1 - Área y fuentes'!M20</f>
        <v>Sustituir por IDEAM u otra fuente oficial</v>
      </c>
      <c r="K173" s="10" t="s">
        <v>165</v>
      </c>
      <c r="L173" s="15" t="str">
        <f>IF(G173="","FALTANTE",IF(G173&lt;0,"NEGATIVO",IF(H173&lt;&gt;"mm","UNIDAD",IF(COUNTIF($A$20:A173,A173)&gt;1,"DUPLICADO","OK"))))</f>
        <v>OK</v>
      </c>
    </row>
    <row r="174" spans="1:12" ht="22.8">
      <c r="A174" s="13">
        <v>34274</v>
      </c>
      <c r="B174" s="15">
        <v>1993</v>
      </c>
      <c r="C174" s="15">
        <v>11</v>
      </c>
      <c r="D174" s="15" t="s">
        <v>158</v>
      </c>
      <c r="E174" s="15" t="str">
        <f>'Hoja 1 - Área y fuentes'!C20</f>
        <v>Serie sintética de capacitación</v>
      </c>
      <c r="F174" s="15" t="str">
        <f>'Hoja 1 - Área y fuentes'!D20</f>
        <v>DID-001</v>
      </c>
      <c r="G174" s="12">
        <v>137.19999999999999</v>
      </c>
      <c r="H174" s="10" t="s">
        <v>56</v>
      </c>
      <c r="I174" s="10" t="s">
        <v>50</v>
      </c>
      <c r="J174" s="15" t="str">
        <f>'Hoja 1 - Área y fuentes'!M20</f>
        <v>Sustituir por IDEAM u otra fuente oficial</v>
      </c>
      <c r="K174" s="10" t="s">
        <v>165</v>
      </c>
      <c r="L174" s="15" t="str">
        <f>IF(G174="","FALTANTE",IF(G174&lt;0,"NEGATIVO",IF(H174&lt;&gt;"mm","UNIDAD",IF(COUNTIF($A$20:A174,A174)&gt;1,"DUPLICADO","OK"))))</f>
        <v>OK</v>
      </c>
    </row>
    <row r="175" spans="1:12" ht="22.8">
      <c r="A175" s="13">
        <v>34304</v>
      </c>
      <c r="B175" s="15">
        <v>1993</v>
      </c>
      <c r="C175" s="15">
        <v>12</v>
      </c>
      <c r="D175" s="15" t="s">
        <v>164</v>
      </c>
      <c r="E175" s="15" t="str">
        <f>'Hoja 1 - Área y fuentes'!C20</f>
        <v>Serie sintética de capacitación</v>
      </c>
      <c r="F175" s="15" t="str">
        <f>'Hoja 1 - Área y fuentes'!D20</f>
        <v>DID-001</v>
      </c>
      <c r="G175" s="12">
        <v>83.3</v>
      </c>
      <c r="H175" s="10" t="s">
        <v>56</v>
      </c>
      <c r="I175" s="10" t="s">
        <v>50</v>
      </c>
      <c r="J175" s="15" t="str">
        <f>'Hoja 1 - Área y fuentes'!M20</f>
        <v>Sustituir por IDEAM u otra fuente oficial</v>
      </c>
      <c r="K175" s="10" t="s">
        <v>165</v>
      </c>
      <c r="L175" s="15" t="str">
        <f>IF(G175="","FALTANTE",IF(G175&lt;0,"NEGATIVO",IF(H175&lt;&gt;"mm","UNIDAD",IF(COUNTIF($A$20:A175,A175)&gt;1,"DUPLICADO","OK"))))</f>
        <v>OK</v>
      </c>
    </row>
    <row r="176" spans="1:12" ht="22.8">
      <c r="A176" s="13">
        <v>34335</v>
      </c>
      <c r="B176" s="15">
        <v>1994</v>
      </c>
      <c r="C176" s="15">
        <v>1</v>
      </c>
      <c r="D176" s="15" t="s">
        <v>134</v>
      </c>
      <c r="E176" s="15" t="str">
        <f>'Hoja 1 - Área y fuentes'!C20</f>
        <v>Serie sintética de capacitación</v>
      </c>
      <c r="F176" s="15" t="str">
        <f>'Hoja 1 - Área y fuentes'!D20</f>
        <v>DID-001</v>
      </c>
      <c r="G176" s="12">
        <v>56.3</v>
      </c>
      <c r="H176" s="10" t="s">
        <v>56</v>
      </c>
      <c r="I176" s="10" t="s">
        <v>50</v>
      </c>
      <c r="J176" s="15" t="str">
        <f>'Hoja 1 - Área y fuentes'!M20</f>
        <v>Sustituir por IDEAM u otra fuente oficial</v>
      </c>
      <c r="K176" s="10" t="s">
        <v>165</v>
      </c>
      <c r="L176" s="15" t="str">
        <f>IF(G176="","FALTANTE",IF(G176&lt;0,"NEGATIVO",IF(H176&lt;&gt;"mm","UNIDAD",IF(COUNTIF($A$20:A176,A176)&gt;1,"DUPLICADO","OK"))))</f>
        <v>OK</v>
      </c>
    </row>
    <row r="177" spans="1:12" ht="22.8">
      <c r="A177" s="13">
        <v>34366</v>
      </c>
      <c r="B177" s="15">
        <v>1994</v>
      </c>
      <c r="C177" s="15">
        <v>2</v>
      </c>
      <c r="D177" s="15" t="s">
        <v>141</v>
      </c>
      <c r="E177" s="15" t="str">
        <f>'Hoja 1 - Área y fuentes'!C20</f>
        <v>Serie sintética de capacitación</v>
      </c>
      <c r="F177" s="15" t="str">
        <f>'Hoja 1 - Área y fuentes'!D20</f>
        <v>DID-001</v>
      </c>
      <c r="G177" s="12">
        <v>63.7</v>
      </c>
      <c r="H177" s="10" t="s">
        <v>56</v>
      </c>
      <c r="I177" s="10" t="s">
        <v>50</v>
      </c>
      <c r="J177" s="15" t="str">
        <f>'Hoja 1 - Área y fuentes'!M20</f>
        <v>Sustituir por IDEAM u otra fuente oficial</v>
      </c>
      <c r="K177" s="10" t="s">
        <v>165</v>
      </c>
      <c r="L177" s="15" t="str">
        <f>IF(G177="","FALTANTE",IF(G177&lt;0,"NEGATIVO",IF(H177&lt;&gt;"mm","UNIDAD",IF(COUNTIF($A$20:A177,A177)&gt;1,"DUPLICADO","OK"))))</f>
        <v>OK</v>
      </c>
    </row>
    <row r="178" spans="1:12" ht="22.8">
      <c r="A178" s="13">
        <v>34394</v>
      </c>
      <c r="B178" s="15">
        <v>1994</v>
      </c>
      <c r="C178" s="15">
        <v>3</v>
      </c>
      <c r="D178" s="15" t="s">
        <v>148</v>
      </c>
      <c r="E178" s="15" t="str">
        <f>'Hoja 1 - Área y fuentes'!C20</f>
        <v>Serie sintética de capacitación</v>
      </c>
      <c r="F178" s="15" t="str">
        <f>'Hoja 1 - Área y fuentes'!D20</f>
        <v>DID-001</v>
      </c>
      <c r="G178" s="12">
        <v>96.8</v>
      </c>
      <c r="H178" s="10" t="s">
        <v>56</v>
      </c>
      <c r="I178" s="10" t="s">
        <v>50</v>
      </c>
      <c r="J178" s="15" t="str">
        <f>'Hoja 1 - Área y fuentes'!M20</f>
        <v>Sustituir por IDEAM u otra fuente oficial</v>
      </c>
      <c r="K178" s="10" t="s">
        <v>165</v>
      </c>
      <c r="L178" s="15" t="str">
        <f>IF(G178="","FALTANTE",IF(G178&lt;0,"NEGATIVO",IF(H178&lt;&gt;"mm","UNIDAD",IF(COUNTIF($A$20:A178,A178)&gt;1,"DUPLICADO","OK"))))</f>
        <v>OK</v>
      </c>
    </row>
    <row r="179" spans="1:12" ht="22.8">
      <c r="A179" s="13">
        <v>34425</v>
      </c>
      <c r="B179" s="15">
        <v>1994</v>
      </c>
      <c r="C179" s="15">
        <v>4</v>
      </c>
      <c r="D179" s="15" t="s">
        <v>149</v>
      </c>
      <c r="E179" s="15" t="str">
        <f>'Hoja 1 - Área y fuentes'!C20</f>
        <v>Serie sintética de capacitación</v>
      </c>
      <c r="F179" s="15" t="str">
        <f>'Hoja 1 - Área y fuentes'!D20</f>
        <v>DID-001</v>
      </c>
      <c r="G179" s="12">
        <v>143.5</v>
      </c>
      <c r="H179" s="10" t="s">
        <v>56</v>
      </c>
      <c r="I179" s="10" t="s">
        <v>50</v>
      </c>
      <c r="J179" s="15" t="str">
        <f>'Hoja 1 - Área y fuentes'!M20</f>
        <v>Sustituir por IDEAM u otra fuente oficial</v>
      </c>
      <c r="K179" s="10" t="s">
        <v>165</v>
      </c>
      <c r="L179" s="15" t="str">
        <f>IF(G179="","FALTANTE",IF(G179&lt;0,"NEGATIVO",IF(H179&lt;&gt;"mm","UNIDAD",IF(COUNTIF($A$20:A179,A179)&gt;1,"DUPLICADO","OK"))))</f>
        <v>OK</v>
      </c>
    </row>
    <row r="180" spans="1:12" ht="22.8">
      <c r="A180" s="13">
        <v>34455</v>
      </c>
      <c r="B180" s="15">
        <v>1994</v>
      </c>
      <c r="C180" s="15">
        <v>5</v>
      </c>
      <c r="D180" s="15" t="s">
        <v>151</v>
      </c>
      <c r="E180" s="15" t="str">
        <f>'Hoja 1 - Área y fuentes'!C20</f>
        <v>Serie sintética de capacitación</v>
      </c>
      <c r="F180" s="15" t="str">
        <f>'Hoja 1 - Área y fuentes'!D20</f>
        <v>DID-001</v>
      </c>
      <c r="G180" s="12">
        <v>131</v>
      </c>
      <c r="H180" s="10" t="s">
        <v>56</v>
      </c>
      <c r="I180" s="10" t="s">
        <v>50</v>
      </c>
      <c r="J180" s="15" t="str">
        <f>'Hoja 1 - Área y fuentes'!M20</f>
        <v>Sustituir por IDEAM u otra fuente oficial</v>
      </c>
      <c r="K180" s="10" t="s">
        <v>165</v>
      </c>
      <c r="L180" s="15" t="str">
        <f>IF(G180="","FALTANTE",IF(G180&lt;0,"NEGATIVO",IF(H180&lt;&gt;"mm","UNIDAD",IF(COUNTIF($A$20:A180,A180)&gt;1,"DUPLICADO","OK"))))</f>
        <v>OK</v>
      </c>
    </row>
    <row r="181" spans="1:12" ht="22.8">
      <c r="A181" s="13">
        <v>34486</v>
      </c>
      <c r="B181" s="15">
        <v>1994</v>
      </c>
      <c r="C181" s="15">
        <v>6</v>
      </c>
      <c r="D181" s="15" t="s">
        <v>152</v>
      </c>
      <c r="E181" s="15" t="str">
        <f>'Hoja 1 - Área y fuentes'!C20</f>
        <v>Serie sintética de capacitación</v>
      </c>
      <c r="F181" s="15" t="str">
        <f>'Hoja 1 - Área y fuentes'!D20</f>
        <v>DID-001</v>
      </c>
      <c r="G181" s="12">
        <v>76.400000000000006</v>
      </c>
      <c r="H181" s="10" t="s">
        <v>56</v>
      </c>
      <c r="I181" s="10" t="s">
        <v>50</v>
      </c>
      <c r="J181" s="15" t="str">
        <f>'Hoja 1 - Área y fuentes'!M20</f>
        <v>Sustituir por IDEAM u otra fuente oficial</v>
      </c>
      <c r="K181" s="10" t="s">
        <v>165</v>
      </c>
      <c r="L181" s="15" t="str">
        <f>IF(G181="","FALTANTE",IF(G181&lt;0,"NEGATIVO",IF(H181&lt;&gt;"mm","UNIDAD",IF(COUNTIF($A$20:A181,A181)&gt;1,"DUPLICADO","OK"))))</f>
        <v>OK</v>
      </c>
    </row>
    <row r="182" spans="1:12" ht="22.8">
      <c r="A182" s="13">
        <v>34516</v>
      </c>
      <c r="B182" s="15">
        <v>1994</v>
      </c>
      <c r="C182" s="15">
        <v>7</v>
      </c>
      <c r="D182" s="15" t="s">
        <v>153</v>
      </c>
      <c r="E182" s="15" t="str">
        <f>'Hoja 1 - Área y fuentes'!C20</f>
        <v>Serie sintética de capacitación</v>
      </c>
      <c r="F182" s="15" t="str">
        <f>'Hoja 1 - Área y fuentes'!D20</f>
        <v>DID-001</v>
      </c>
      <c r="G182" s="12">
        <v>59.9</v>
      </c>
      <c r="H182" s="10" t="s">
        <v>56</v>
      </c>
      <c r="I182" s="10" t="s">
        <v>50</v>
      </c>
      <c r="J182" s="15" t="str">
        <f>'Hoja 1 - Área y fuentes'!M20</f>
        <v>Sustituir por IDEAM u otra fuente oficial</v>
      </c>
      <c r="K182" s="10" t="s">
        <v>165</v>
      </c>
      <c r="L182" s="15" t="str">
        <f>IF(G182="","FALTANTE",IF(G182&lt;0,"NEGATIVO",IF(H182&lt;&gt;"mm","UNIDAD",IF(COUNTIF($A$20:A182,A182)&gt;1,"DUPLICADO","OK"))))</f>
        <v>OK</v>
      </c>
    </row>
    <row r="183" spans="1:12" ht="22.8">
      <c r="A183" s="13">
        <v>34547</v>
      </c>
      <c r="B183" s="15">
        <v>1994</v>
      </c>
      <c r="C183" s="15">
        <v>8</v>
      </c>
      <c r="D183" s="15" t="s">
        <v>154</v>
      </c>
      <c r="E183" s="15" t="str">
        <f>'Hoja 1 - Área y fuentes'!C20</f>
        <v>Serie sintética de capacitación</v>
      </c>
      <c r="F183" s="15" t="str">
        <f>'Hoja 1 - Área y fuentes'!D20</f>
        <v>DID-001</v>
      </c>
      <c r="G183" s="12">
        <v>64</v>
      </c>
      <c r="H183" s="10" t="s">
        <v>56</v>
      </c>
      <c r="I183" s="10" t="s">
        <v>50</v>
      </c>
      <c r="J183" s="15" t="str">
        <f>'Hoja 1 - Área y fuentes'!M20</f>
        <v>Sustituir por IDEAM u otra fuente oficial</v>
      </c>
      <c r="K183" s="10" t="s">
        <v>165</v>
      </c>
      <c r="L183" s="15" t="str">
        <f>IF(G183="","FALTANTE",IF(G183&lt;0,"NEGATIVO",IF(H183&lt;&gt;"mm","UNIDAD",IF(COUNTIF($A$20:A183,A183)&gt;1,"DUPLICADO","OK"))))</f>
        <v>OK</v>
      </c>
    </row>
    <row r="184" spans="1:12" ht="22.8">
      <c r="A184" s="13">
        <v>34578</v>
      </c>
      <c r="B184" s="15">
        <v>1994</v>
      </c>
      <c r="C184" s="15">
        <v>9</v>
      </c>
      <c r="D184" s="15" t="s">
        <v>155</v>
      </c>
      <c r="E184" s="15" t="str">
        <f>'Hoja 1 - Área y fuentes'!C20</f>
        <v>Serie sintética de capacitación</v>
      </c>
      <c r="F184" s="15" t="str">
        <f>'Hoja 1 - Área y fuentes'!D20</f>
        <v>DID-001</v>
      </c>
      <c r="G184" s="12">
        <v>107.4</v>
      </c>
      <c r="H184" s="10" t="s">
        <v>56</v>
      </c>
      <c r="I184" s="10" t="s">
        <v>50</v>
      </c>
      <c r="J184" s="15" t="str">
        <f>'Hoja 1 - Área y fuentes'!M20</f>
        <v>Sustituir por IDEAM u otra fuente oficial</v>
      </c>
      <c r="K184" s="10" t="s">
        <v>165</v>
      </c>
      <c r="L184" s="15" t="str">
        <f>IF(G184="","FALTANTE",IF(G184&lt;0,"NEGATIVO",IF(H184&lt;&gt;"mm","UNIDAD",IF(COUNTIF($A$20:A184,A184)&gt;1,"DUPLICADO","OK"))))</f>
        <v>OK</v>
      </c>
    </row>
    <row r="185" spans="1:12" ht="22.8">
      <c r="A185" s="13">
        <v>34608</v>
      </c>
      <c r="B185" s="15">
        <v>1994</v>
      </c>
      <c r="C185" s="15">
        <v>10</v>
      </c>
      <c r="D185" s="15" t="s">
        <v>157</v>
      </c>
      <c r="E185" s="15" t="str">
        <f>'Hoja 1 - Área y fuentes'!C20</f>
        <v>Serie sintética de capacitación</v>
      </c>
      <c r="F185" s="15" t="str">
        <f>'Hoja 1 - Área y fuentes'!D20</f>
        <v>DID-001</v>
      </c>
      <c r="G185" s="12">
        <v>149.5</v>
      </c>
      <c r="H185" s="10" t="s">
        <v>56</v>
      </c>
      <c r="I185" s="10" t="s">
        <v>50</v>
      </c>
      <c r="J185" s="15" t="str">
        <f>'Hoja 1 - Área y fuentes'!M20</f>
        <v>Sustituir por IDEAM u otra fuente oficial</v>
      </c>
      <c r="K185" s="10" t="s">
        <v>165</v>
      </c>
      <c r="L185" s="15" t="str">
        <f>IF(G185="","FALTANTE",IF(G185&lt;0,"NEGATIVO",IF(H185&lt;&gt;"mm","UNIDAD",IF(COUNTIF($A$20:A185,A185)&gt;1,"DUPLICADO","OK"))))</f>
        <v>OK</v>
      </c>
    </row>
    <row r="186" spans="1:12" ht="22.8">
      <c r="A186" s="13">
        <v>34639</v>
      </c>
      <c r="B186" s="15">
        <v>1994</v>
      </c>
      <c r="C186" s="15">
        <v>11</v>
      </c>
      <c r="D186" s="15" t="s">
        <v>158</v>
      </c>
      <c r="E186" s="15" t="str">
        <f>'Hoja 1 - Área y fuentes'!C20</f>
        <v>Serie sintética de capacitación</v>
      </c>
      <c r="F186" s="15" t="str">
        <f>'Hoja 1 - Área y fuentes'!D20</f>
        <v>DID-001</v>
      </c>
      <c r="G186" s="12">
        <v>125.4</v>
      </c>
      <c r="H186" s="10" t="s">
        <v>56</v>
      </c>
      <c r="I186" s="10" t="s">
        <v>50</v>
      </c>
      <c r="J186" s="15" t="str">
        <f>'Hoja 1 - Área y fuentes'!M20</f>
        <v>Sustituir por IDEAM u otra fuente oficial</v>
      </c>
      <c r="K186" s="10" t="s">
        <v>165</v>
      </c>
      <c r="L186" s="15" t="str">
        <f>IF(G186="","FALTANTE",IF(G186&lt;0,"NEGATIVO",IF(H186&lt;&gt;"mm","UNIDAD",IF(COUNTIF($A$20:A186,A186)&gt;1,"DUPLICADO","OK"))))</f>
        <v>OK</v>
      </c>
    </row>
    <row r="187" spans="1:12" ht="22.8">
      <c r="A187" s="13">
        <v>34669</v>
      </c>
      <c r="B187" s="15">
        <v>1994</v>
      </c>
      <c r="C187" s="15">
        <v>12</v>
      </c>
      <c r="D187" s="15" t="s">
        <v>164</v>
      </c>
      <c r="E187" s="15" t="str">
        <f>'Hoja 1 - Área y fuentes'!C20</f>
        <v>Serie sintética de capacitación</v>
      </c>
      <c r="F187" s="15" t="str">
        <f>'Hoja 1 - Área y fuentes'!D20</f>
        <v>DID-001</v>
      </c>
      <c r="G187" s="12">
        <v>70.7</v>
      </c>
      <c r="H187" s="10" t="s">
        <v>56</v>
      </c>
      <c r="I187" s="10" t="s">
        <v>50</v>
      </c>
      <c r="J187" s="15" t="str">
        <f>'Hoja 1 - Área y fuentes'!M20</f>
        <v>Sustituir por IDEAM u otra fuente oficial</v>
      </c>
      <c r="K187" s="10" t="s">
        <v>165</v>
      </c>
      <c r="L187" s="15" t="str">
        <f>IF(G187="","FALTANTE",IF(G187&lt;0,"NEGATIVO",IF(H187&lt;&gt;"mm","UNIDAD",IF(COUNTIF($A$20:A187,A187)&gt;1,"DUPLICADO","OK"))))</f>
        <v>OK</v>
      </c>
    </row>
    <row r="188" spans="1:12" ht="22.8">
      <c r="A188" s="13">
        <v>34700</v>
      </c>
      <c r="B188" s="15">
        <v>1995</v>
      </c>
      <c r="C188" s="15">
        <v>1</v>
      </c>
      <c r="D188" s="15" t="s">
        <v>134</v>
      </c>
      <c r="E188" s="15" t="str">
        <f>'Hoja 1 - Área y fuentes'!C20</f>
        <v>Serie sintética de capacitación</v>
      </c>
      <c r="F188" s="15" t="str">
        <f>'Hoja 1 - Área y fuentes'!D20</f>
        <v>DID-001</v>
      </c>
      <c r="G188" s="12">
        <v>61.8</v>
      </c>
      <c r="H188" s="10" t="s">
        <v>56</v>
      </c>
      <c r="I188" s="10" t="s">
        <v>50</v>
      </c>
      <c r="J188" s="15" t="str">
        <f>'Hoja 1 - Área y fuentes'!M20</f>
        <v>Sustituir por IDEAM u otra fuente oficial</v>
      </c>
      <c r="K188" s="10" t="s">
        <v>165</v>
      </c>
      <c r="L188" s="15" t="str">
        <f>IF(G188="","FALTANTE",IF(G188&lt;0,"NEGATIVO",IF(H188&lt;&gt;"mm","UNIDAD",IF(COUNTIF($A$20:A188,A188)&gt;1,"DUPLICADO","OK"))))</f>
        <v>OK</v>
      </c>
    </row>
    <row r="189" spans="1:12" ht="22.8">
      <c r="A189" s="13">
        <v>34731</v>
      </c>
      <c r="B189" s="15">
        <v>1995</v>
      </c>
      <c r="C189" s="15">
        <v>2</v>
      </c>
      <c r="D189" s="15" t="s">
        <v>141</v>
      </c>
      <c r="E189" s="15" t="str">
        <f>'Hoja 1 - Área y fuentes'!C20</f>
        <v>Serie sintética de capacitación</v>
      </c>
      <c r="F189" s="15" t="str">
        <f>'Hoja 1 - Área y fuentes'!D20</f>
        <v>DID-001</v>
      </c>
      <c r="G189" s="12">
        <v>69</v>
      </c>
      <c r="H189" s="10" t="s">
        <v>56</v>
      </c>
      <c r="I189" s="10" t="s">
        <v>50</v>
      </c>
      <c r="J189" s="15" t="str">
        <f>'Hoja 1 - Área y fuentes'!M20</f>
        <v>Sustituir por IDEAM u otra fuente oficial</v>
      </c>
      <c r="K189" s="10" t="s">
        <v>165</v>
      </c>
      <c r="L189" s="15" t="str">
        <f>IF(G189="","FALTANTE",IF(G189&lt;0,"NEGATIVO",IF(H189&lt;&gt;"mm","UNIDAD",IF(COUNTIF($A$20:A189,A189)&gt;1,"DUPLICADO","OK"))))</f>
        <v>OK</v>
      </c>
    </row>
    <row r="190" spans="1:12" ht="22.8">
      <c r="A190" s="13">
        <v>34759</v>
      </c>
      <c r="B190" s="15">
        <v>1995</v>
      </c>
      <c r="C190" s="15">
        <v>3</v>
      </c>
      <c r="D190" s="15" t="s">
        <v>148</v>
      </c>
      <c r="E190" s="15" t="str">
        <f>'Hoja 1 - Área y fuentes'!C20</f>
        <v>Serie sintética de capacitación</v>
      </c>
      <c r="F190" s="15" t="str">
        <f>'Hoja 1 - Área y fuentes'!D20</f>
        <v>DID-001</v>
      </c>
      <c r="G190" s="12">
        <v>99.3</v>
      </c>
      <c r="H190" s="10" t="s">
        <v>56</v>
      </c>
      <c r="I190" s="10" t="s">
        <v>50</v>
      </c>
      <c r="J190" s="15" t="str">
        <f>'Hoja 1 - Área y fuentes'!M20</f>
        <v>Sustituir por IDEAM u otra fuente oficial</v>
      </c>
      <c r="K190" s="10" t="s">
        <v>165</v>
      </c>
      <c r="L190" s="15" t="str">
        <f>IF(G190="","FALTANTE",IF(G190&lt;0,"NEGATIVO",IF(H190&lt;&gt;"mm","UNIDAD",IF(COUNTIF($A$20:A190,A190)&gt;1,"DUPLICADO","OK"))))</f>
        <v>OK</v>
      </c>
    </row>
    <row r="191" spans="1:12" ht="22.8">
      <c r="A191" s="13">
        <v>34790</v>
      </c>
      <c r="B191" s="15">
        <v>1995</v>
      </c>
      <c r="C191" s="15">
        <v>4</v>
      </c>
      <c r="D191" s="15" t="s">
        <v>149</v>
      </c>
      <c r="E191" s="15" t="str">
        <f>'Hoja 1 - Área y fuentes'!C20</f>
        <v>Serie sintética de capacitación</v>
      </c>
      <c r="F191" s="15" t="str">
        <f>'Hoja 1 - Área y fuentes'!D20</f>
        <v>DID-001</v>
      </c>
      <c r="G191" s="12">
        <v>140.6</v>
      </c>
      <c r="H191" s="10" t="s">
        <v>56</v>
      </c>
      <c r="I191" s="10" t="s">
        <v>50</v>
      </c>
      <c r="J191" s="15" t="str">
        <f>'Hoja 1 - Área y fuentes'!M20</f>
        <v>Sustituir por IDEAM u otra fuente oficial</v>
      </c>
      <c r="K191" s="10" t="s">
        <v>165</v>
      </c>
      <c r="L191" s="15" t="str">
        <f>IF(G191="","FALTANTE",IF(G191&lt;0,"NEGATIVO",IF(H191&lt;&gt;"mm","UNIDAD",IF(COUNTIF($A$20:A191,A191)&gt;1,"DUPLICADO","OK"))))</f>
        <v>OK</v>
      </c>
    </row>
    <row r="192" spans="1:12" ht="22.8">
      <c r="A192" s="13">
        <v>34820</v>
      </c>
      <c r="B192" s="15">
        <v>1995</v>
      </c>
      <c r="C192" s="15">
        <v>5</v>
      </c>
      <c r="D192" s="15" t="s">
        <v>151</v>
      </c>
      <c r="E192" s="15" t="str">
        <f>'Hoja 1 - Área y fuentes'!C20</f>
        <v>Serie sintética de capacitación</v>
      </c>
      <c r="F192" s="15" t="str">
        <f>'Hoja 1 - Área y fuentes'!D20</f>
        <v>DID-001</v>
      </c>
      <c r="G192" s="12">
        <v>130.5</v>
      </c>
      <c r="H192" s="10" t="s">
        <v>56</v>
      </c>
      <c r="I192" s="10" t="s">
        <v>50</v>
      </c>
      <c r="J192" s="15" t="str">
        <f>'Hoja 1 - Área y fuentes'!M20</f>
        <v>Sustituir por IDEAM u otra fuente oficial</v>
      </c>
      <c r="K192" s="10" t="s">
        <v>165</v>
      </c>
      <c r="L192" s="15" t="str">
        <f>IF(G192="","FALTANTE",IF(G192&lt;0,"NEGATIVO",IF(H192&lt;&gt;"mm","UNIDAD",IF(COUNTIF($A$20:A192,A192)&gt;1,"DUPLICADO","OK"))))</f>
        <v>OK</v>
      </c>
    </row>
    <row r="193" spans="1:12" ht="22.8">
      <c r="A193" s="13">
        <v>34851</v>
      </c>
      <c r="B193" s="15">
        <v>1995</v>
      </c>
      <c r="C193" s="15">
        <v>6</v>
      </c>
      <c r="D193" s="15" t="s">
        <v>152</v>
      </c>
      <c r="E193" s="15" t="str">
        <f>'Hoja 1 - Área y fuentes'!C20</f>
        <v>Serie sintética de capacitación</v>
      </c>
      <c r="F193" s="15" t="str">
        <f>'Hoja 1 - Área y fuentes'!D20</f>
        <v>DID-001</v>
      </c>
      <c r="G193" s="12">
        <v>82</v>
      </c>
      <c r="H193" s="10" t="s">
        <v>56</v>
      </c>
      <c r="I193" s="10" t="s">
        <v>50</v>
      </c>
      <c r="J193" s="15" t="str">
        <f>'Hoja 1 - Área y fuentes'!M20</f>
        <v>Sustituir por IDEAM u otra fuente oficial</v>
      </c>
      <c r="K193" s="10" t="s">
        <v>165</v>
      </c>
      <c r="L193" s="15" t="str">
        <f>IF(G193="","FALTANTE",IF(G193&lt;0,"NEGATIVO",IF(H193&lt;&gt;"mm","UNIDAD",IF(COUNTIF($A$20:A193,A193)&gt;1,"DUPLICADO","OK"))))</f>
        <v>OK</v>
      </c>
    </row>
    <row r="194" spans="1:12" ht="22.8">
      <c r="A194" s="13">
        <v>34881</v>
      </c>
      <c r="B194" s="15">
        <v>1995</v>
      </c>
      <c r="C194" s="15">
        <v>7</v>
      </c>
      <c r="D194" s="15" t="s">
        <v>153</v>
      </c>
      <c r="E194" s="15" t="str">
        <f>'Hoja 1 - Área y fuentes'!C20</f>
        <v>Serie sintética de capacitación</v>
      </c>
      <c r="F194" s="15" t="str">
        <f>'Hoja 1 - Área y fuentes'!D20</f>
        <v>DID-001</v>
      </c>
      <c r="G194" s="12">
        <v>69.099999999999994</v>
      </c>
      <c r="H194" s="10" t="s">
        <v>56</v>
      </c>
      <c r="I194" s="10" t="s">
        <v>50</v>
      </c>
      <c r="J194" s="15" t="str">
        <f>'Hoja 1 - Área y fuentes'!M20</f>
        <v>Sustituir por IDEAM u otra fuente oficial</v>
      </c>
      <c r="K194" s="10" t="s">
        <v>165</v>
      </c>
      <c r="L194" s="15" t="str">
        <f>IF(G194="","FALTANTE",IF(G194&lt;0,"NEGATIVO",IF(H194&lt;&gt;"mm","UNIDAD",IF(COUNTIF($A$20:A194,A194)&gt;1,"DUPLICADO","OK"))))</f>
        <v>OK</v>
      </c>
    </row>
    <row r="195" spans="1:12" ht="22.8">
      <c r="A195" s="13">
        <v>34912</v>
      </c>
      <c r="B195" s="15">
        <v>1995</v>
      </c>
      <c r="C195" s="15">
        <v>8</v>
      </c>
      <c r="D195" s="15" t="s">
        <v>154</v>
      </c>
      <c r="E195" s="15" t="str">
        <f>'Hoja 1 - Área y fuentes'!C20</f>
        <v>Serie sintética de capacitación</v>
      </c>
      <c r="F195" s="15" t="str">
        <f>'Hoja 1 - Área y fuentes'!D20</f>
        <v>DID-001</v>
      </c>
      <c r="G195" s="12">
        <v>74.2</v>
      </c>
      <c r="H195" s="10" t="s">
        <v>56</v>
      </c>
      <c r="I195" s="10" t="s">
        <v>50</v>
      </c>
      <c r="J195" s="15" t="str">
        <f>'Hoja 1 - Área y fuentes'!M20</f>
        <v>Sustituir por IDEAM u otra fuente oficial</v>
      </c>
      <c r="K195" s="10" t="s">
        <v>165</v>
      </c>
      <c r="L195" s="15" t="str">
        <f>IF(G195="","FALTANTE",IF(G195&lt;0,"NEGATIVO",IF(H195&lt;&gt;"mm","UNIDAD",IF(COUNTIF($A$20:A195,A195)&gt;1,"DUPLICADO","OK"))))</f>
        <v>OK</v>
      </c>
    </row>
    <row r="196" spans="1:12" ht="22.8">
      <c r="A196" s="13">
        <v>34943</v>
      </c>
      <c r="B196" s="15">
        <v>1995</v>
      </c>
      <c r="C196" s="15">
        <v>9</v>
      </c>
      <c r="D196" s="15" t="s">
        <v>155</v>
      </c>
      <c r="E196" s="15" t="str">
        <f>'Hoja 1 - Área y fuentes'!C20</f>
        <v>Serie sintética de capacitación</v>
      </c>
      <c r="F196" s="15" t="str">
        <f>'Hoja 1 - Área y fuentes'!D20</f>
        <v>DID-001</v>
      </c>
      <c r="G196" s="12">
        <v>116.3</v>
      </c>
      <c r="H196" s="10" t="s">
        <v>56</v>
      </c>
      <c r="I196" s="10" t="s">
        <v>50</v>
      </c>
      <c r="J196" s="15" t="str">
        <f>'Hoja 1 - Área y fuentes'!M20</f>
        <v>Sustituir por IDEAM u otra fuente oficial</v>
      </c>
      <c r="K196" s="10" t="s">
        <v>165</v>
      </c>
      <c r="L196" s="15" t="str">
        <f>IF(G196="","FALTANTE",IF(G196&lt;0,"NEGATIVO",IF(H196&lt;&gt;"mm","UNIDAD",IF(COUNTIF($A$20:A196,A196)&gt;1,"DUPLICADO","OK"))))</f>
        <v>OK</v>
      </c>
    </row>
    <row r="197" spans="1:12" ht="22.8">
      <c r="A197" s="13">
        <v>34973</v>
      </c>
      <c r="B197" s="15">
        <v>1995</v>
      </c>
      <c r="C197" s="15">
        <v>10</v>
      </c>
      <c r="D197" s="15" t="s">
        <v>157</v>
      </c>
      <c r="E197" s="15" t="str">
        <f>'Hoja 1 - Área y fuentes'!C20</f>
        <v>Serie sintética de capacitación</v>
      </c>
      <c r="F197" s="15" t="str">
        <f>'Hoja 1 - Área y fuentes'!D20</f>
        <v>DID-001</v>
      </c>
      <c r="G197" s="12">
        <v>149.9</v>
      </c>
      <c r="H197" s="10" t="s">
        <v>56</v>
      </c>
      <c r="I197" s="10" t="s">
        <v>50</v>
      </c>
      <c r="J197" s="15" t="str">
        <f>'Hoja 1 - Área y fuentes'!M20</f>
        <v>Sustituir por IDEAM u otra fuente oficial</v>
      </c>
      <c r="K197" s="10" t="s">
        <v>165</v>
      </c>
      <c r="L197" s="15" t="str">
        <f>IF(G197="","FALTANTE",IF(G197&lt;0,"NEGATIVO",IF(H197&lt;&gt;"mm","UNIDAD",IF(COUNTIF($A$20:A197,A197)&gt;1,"DUPLICADO","OK"))))</f>
        <v>OK</v>
      </c>
    </row>
    <row r="198" spans="1:12" ht="22.8">
      <c r="A198" s="13">
        <v>35004</v>
      </c>
      <c r="B198" s="15">
        <v>1995</v>
      </c>
      <c r="C198" s="15">
        <v>11</v>
      </c>
      <c r="D198" s="15" t="s">
        <v>158</v>
      </c>
      <c r="E198" s="15" t="str">
        <f>'Hoja 1 - Área y fuentes'!C20</f>
        <v>Serie sintética de capacitación</v>
      </c>
      <c r="F198" s="15" t="str">
        <f>'Hoja 1 - Área y fuentes'!D20</f>
        <v>DID-001</v>
      </c>
      <c r="G198" s="12">
        <v>122.8</v>
      </c>
      <c r="H198" s="10" t="s">
        <v>56</v>
      </c>
      <c r="I198" s="10" t="s">
        <v>50</v>
      </c>
      <c r="J198" s="15" t="str">
        <f>'Hoja 1 - Área y fuentes'!M20</f>
        <v>Sustituir por IDEAM u otra fuente oficial</v>
      </c>
      <c r="K198" s="10" t="s">
        <v>165</v>
      </c>
      <c r="L198" s="15" t="str">
        <f>IF(G198="","FALTANTE",IF(G198&lt;0,"NEGATIVO",IF(H198&lt;&gt;"mm","UNIDAD",IF(COUNTIF($A$20:A198,A198)&gt;1,"DUPLICADO","OK"))))</f>
        <v>OK</v>
      </c>
    </row>
    <row r="199" spans="1:12" ht="22.8">
      <c r="A199" s="13">
        <v>35034</v>
      </c>
      <c r="B199" s="15">
        <v>1995</v>
      </c>
      <c r="C199" s="15">
        <v>12</v>
      </c>
      <c r="D199" s="15" t="s">
        <v>164</v>
      </c>
      <c r="E199" s="15" t="str">
        <f>'Hoja 1 - Área y fuentes'!C20</f>
        <v>Serie sintética de capacitación</v>
      </c>
      <c r="F199" s="15" t="str">
        <f>'Hoja 1 - Área y fuentes'!D20</f>
        <v>DID-001</v>
      </c>
      <c r="G199" s="12">
        <v>72.099999999999994</v>
      </c>
      <c r="H199" s="10" t="s">
        <v>56</v>
      </c>
      <c r="I199" s="10" t="s">
        <v>50</v>
      </c>
      <c r="J199" s="15" t="str">
        <f>'Hoja 1 - Área y fuentes'!M20</f>
        <v>Sustituir por IDEAM u otra fuente oficial</v>
      </c>
      <c r="K199" s="10" t="s">
        <v>165</v>
      </c>
      <c r="L199" s="15" t="str">
        <f>IF(G199="","FALTANTE",IF(G199&lt;0,"NEGATIVO",IF(H199&lt;&gt;"mm","UNIDAD",IF(COUNTIF($A$20:A199,A199)&gt;1,"DUPLICADO","OK"))))</f>
        <v>OK</v>
      </c>
    </row>
    <row r="200" spans="1:12" ht="22.8">
      <c r="A200" s="13">
        <v>35065</v>
      </c>
      <c r="B200" s="15">
        <v>1996</v>
      </c>
      <c r="C200" s="15">
        <v>1</v>
      </c>
      <c r="D200" s="15" t="s">
        <v>134</v>
      </c>
      <c r="E200" s="15" t="str">
        <f>'Hoja 1 - Área y fuentes'!C20</f>
        <v>Serie sintética de capacitación</v>
      </c>
      <c r="F200" s="15" t="str">
        <f>'Hoja 1 - Área y fuentes'!D20</f>
        <v>DID-001</v>
      </c>
      <c r="G200" s="12">
        <v>72.3</v>
      </c>
      <c r="H200" s="10" t="s">
        <v>56</v>
      </c>
      <c r="I200" s="10" t="s">
        <v>50</v>
      </c>
      <c r="J200" s="15" t="str">
        <f>'Hoja 1 - Área y fuentes'!M20</f>
        <v>Sustituir por IDEAM u otra fuente oficial</v>
      </c>
      <c r="K200" s="10" t="s">
        <v>165</v>
      </c>
      <c r="L200" s="15" t="str">
        <f>IF(G200="","FALTANTE",IF(G200&lt;0,"NEGATIVO",IF(H200&lt;&gt;"mm","UNIDAD",IF(COUNTIF($A$20:A200,A200)&gt;1,"DUPLICADO","OK"))))</f>
        <v>OK</v>
      </c>
    </row>
    <row r="201" spans="1:12" ht="22.8">
      <c r="A201" s="13">
        <v>35096</v>
      </c>
      <c r="B201" s="15">
        <v>1996</v>
      </c>
      <c r="C201" s="15">
        <v>2</v>
      </c>
      <c r="D201" s="15" t="s">
        <v>141</v>
      </c>
      <c r="E201" s="15" t="str">
        <f>'Hoja 1 - Área y fuentes'!C20</f>
        <v>Serie sintética de capacitación</v>
      </c>
      <c r="F201" s="15" t="str">
        <f>'Hoja 1 - Área y fuentes'!D20</f>
        <v>DID-001</v>
      </c>
      <c r="G201" s="12">
        <v>82.5</v>
      </c>
      <c r="H201" s="10" t="s">
        <v>56</v>
      </c>
      <c r="I201" s="10" t="s">
        <v>50</v>
      </c>
      <c r="J201" s="15" t="str">
        <f>'Hoja 1 - Área y fuentes'!M20</f>
        <v>Sustituir por IDEAM u otra fuente oficial</v>
      </c>
      <c r="K201" s="10" t="s">
        <v>165</v>
      </c>
      <c r="L201" s="15" t="str">
        <f>IF(G201="","FALTANTE",IF(G201&lt;0,"NEGATIVO",IF(H201&lt;&gt;"mm","UNIDAD",IF(COUNTIF($A$20:A201,A201)&gt;1,"DUPLICADO","OK"))))</f>
        <v>OK</v>
      </c>
    </row>
    <row r="202" spans="1:12" ht="22.8">
      <c r="A202" s="13">
        <v>35125</v>
      </c>
      <c r="B202" s="15">
        <v>1996</v>
      </c>
      <c r="C202" s="15">
        <v>3</v>
      </c>
      <c r="D202" s="15" t="s">
        <v>148</v>
      </c>
      <c r="E202" s="15" t="str">
        <f>'Hoja 1 - Área y fuentes'!C20</f>
        <v>Serie sintética de capacitación</v>
      </c>
      <c r="F202" s="15" t="str">
        <f>'Hoja 1 - Área y fuentes'!D20</f>
        <v>DID-001</v>
      </c>
      <c r="G202" s="12">
        <v>119.3</v>
      </c>
      <c r="H202" s="10" t="s">
        <v>56</v>
      </c>
      <c r="I202" s="10" t="s">
        <v>50</v>
      </c>
      <c r="J202" s="15" t="str">
        <f>'Hoja 1 - Área y fuentes'!M20</f>
        <v>Sustituir por IDEAM u otra fuente oficial</v>
      </c>
      <c r="K202" s="10" t="s">
        <v>165</v>
      </c>
      <c r="L202" s="15" t="str">
        <f>IF(G202="","FALTANTE",IF(G202&lt;0,"NEGATIVO",IF(H202&lt;&gt;"mm","UNIDAD",IF(COUNTIF($A$20:A202,A202)&gt;1,"DUPLICADO","OK"))))</f>
        <v>OK</v>
      </c>
    </row>
    <row r="203" spans="1:12" ht="22.8">
      <c r="A203" s="13">
        <v>35156</v>
      </c>
      <c r="B203" s="15">
        <v>1996</v>
      </c>
      <c r="C203" s="15">
        <v>4</v>
      </c>
      <c r="D203" s="15" t="s">
        <v>149</v>
      </c>
      <c r="E203" s="15" t="str">
        <f>'Hoja 1 - Área y fuentes'!C20</f>
        <v>Serie sintética de capacitación</v>
      </c>
      <c r="F203" s="15" t="str">
        <f>'Hoja 1 - Área y fuentes'!D20</f>
        <v>DID-001</v>
      </c>
      <c r="G203" s="12">
        <v>165.5</v>
      </c>
      <c r="H203" s="10" t="s">
        <v>56</v>
      </c>
      <c r="I203" s="10" t="s">
        <v>50</v>
      </c>
      <c r="J203" s="15" t="str">
        <f>'Hoja 1 - Área y fuentes'!M20</f>
        <v>Sustituir por IDEAM u otra fuente oficial</v>
      </c>
      <c r="K203" s="10" t="s">
        <v>165</v>
      </c>
      <c r="L203" s="15" t="str">
        <f>IF(G203="","FALTANTE",IF(G203&lt;0,"NEGATIVO",IF(H203&lt;&gt;"mm","UNIDAD",IF(COUNTIF($A$20:A203,A203)&gt;1,"DUPLICADO","OK"))))</f>
        <v>OK</v>
      </c>
    </row>
    <row r="204" spans="1:12" ht="22.8">
      <c r="A204" s="13">
        <v>35186</v>
      </c>
      <c r="B204" s="15">
        <v>1996</v>
      </c>
      <c r="C204" s="15">
        <v>5</v>
      </c>
      <c r="D204" s="15" t="s">
        <v>151</v>
      </c>
      <c r="E204" s="15" t="str">
        <f>'Hoja 1 - Área y fuentes'!C20</f>
        <v>Serie sintética de capacitación</v>
      </c>
      <c r="F204" s="15" t="str">
        <f>'Hoja 1 - Área y fuentes'!D20</f>
        <v>DID-001</v>
      </c>
      <c r="G204" s="12">
        <v>147.5</v>
      </c>
      <c r="H204" s="10" t="s">
        <v>56</v>
      </c>
      <c r="I204" s="10" t="s">
        <v>50</v>
      </c>
      <c r="J204" s="15" t="str">
        <f>'Hoja 1 - Área y fuentes'!M20</f>
        <v>Sustituir por IDEAM u otra fuente oficial</v>
      </c>
      <c r="K204" s="10" t="s">
        <v>165</v>
      </c>
      <c r="L204" s="15" t="str">
        <f>IF(G204="","FALTANTE",IF(G204&lt;0,"NEGATIVO",IF(H204&lt;&gt;"mm","UNIDAD",IF(COUNTIF($A$20:A204,A204)&gt;1,"DUPLICADO","OK"))))</f>
        <v>OK</v>
      </c>
    </row>
    <row r="205" spans="1:12" ht="22.8">
      <c r="A205" s="13">
        <v>35217</v>
      </c>
      <c r="B205" s="15">
        <v>1996</v>
      </c>
      <c r="C205" s="15">
        <v>6</v>
      </c>
      <c r="D205" s="15" t="s">
        <v>152</v>
      </c>
      <c r="E205" s="15" t="str">
        <f>'Hoja 1 - Área y fuentes'!C20</f>
        <v>Serie sintética de capacitación</v>
      </c>
      <c r="F205" s="15" t="str">
        <f>'Hoja 1 - Área y fuentes'!D20</f>
        <v>DID-001</v>
      </c>
      <c r="G205" s="12">
        <v>88.6</v>
      </c>
      <c r="H205" s="10" t="s">
        <v>56</v>
      </c>
      <c r="I205" s="10" t="s">
        <v>50</v>
      </c>
      <c r="J205" s="15" t="str">
        <f>'Hoja 1 - Área y fuentes'!M20</f>
        <v>Sustituir por IDEAM u otra fuente oficial</v>
      </c>
      <c r="K205" s="10" t="s">
        <v>165</v>
      </c>
      <c r="L205" s="15" t="str">
        <f>IF(G205="","FALTANTE",IF(G205&lt;0,"NEGATIVO",IF(H205&lt;&gt;"mm","UNIDAD",IF(COUNTIF($A$20:A205,A205)&gt;1,"DUPLICADO","OK"))))</f>
        <v>OK</v>
      </c>
    </row>
    <row r="206" spans="1:12" ht="22.8">
      <c r="A206" s="13">
        <v>35247</v>
      </c>
      <c r="B206" s="15">
        <v>1996</v>
      </c>
      <c r="C206" s="15">
        <v>7</v>
      </c>
      <c r="D206" s="15" t="s">
        <v>153</v>
      </c>
      <c r="E206" s="15" t="str">
        <f>'Hoja 1 - Área y fuentes'!C20</f>
        <v>Serie sintética de capacitación</v>
      </c>
      <c r="F206" s="15" t="str">
        <f>'Hoja 1 - Área y fuentes'!D20</f>
        <v>DID-001</v>
      </c>
      <c r="G206" s="12">
        <v>72.5</v>
      </c>
      <c r="H206" s="10" t="s">
        <v>56</v>
      </c>
      <c r="I206" s="10" t="s">
        <v>50</v>
      </c>
      <c r="J206" s="15" t="str">
        <f>'Hoja 1 - Área y fuentes'!M20</f>
        <v>Sustituir por IDEAM u otra fuente oficial</v>
      </c>
      <c r="K206" s="10" t="s">
        <v>165</v>
      </c>
      <c r="L206" s="15" t="str">
        <f>IF(G206="","FALTANTE",IF(G206&lt;0,"NEGATIVO",IF(H206&lt;&gt;"mm","UNIDAD",IF(COUNTIF($A$20:A206,A206)&gt;1,"DUPLICADO","OK"))))</f>
        <v>OK</v>
      </c>
    </row>
    <row r="207" spans="1:12" ht="22.8">
      <c r="A207" s="13">
        <v>35278</v>
      </c>
      <c r="B207" s="15">
        <v>1996</v>
      </c>
      <c r="C207" s="15">
        <v>8</v>
      </c>
      <c r="D207" s="15" t="s">
        <v>154</v>
      </c>
      <c r="E207" s="15" t="str">
        <f>'Hoja 1 - Área y fuentes'!C20</f>
        <v>Serie sintética de capacitación</v>
      </c>
      <c r="F207" s="15" t="str">
        <f>'Hoja 1 - Área y fuentes'!D20</f>
        <v>DID-001</v>
      </c>
      <c r="G207" s="12">
        <v>77.599999999999994</v>
      </c>
      <c r="H207" s="10" t="s">
        <v>56</v>
      </c>
      <c r="I207" s="10" t="s">
        <v>50</v>
      </c>
      <c r="J207" s="15" t="str">
        <f>'Hoja 1 - Área y fuentes'!M20</f>
        <v>Sustituir por IDEAM u otra fuente oficial</v>
      </c>
      <c r="K207" s="10" t="s">
        <v>165</v>
      </c>
      <c r="L207" s="15" t="str">
        <f>IF(G207="","FALTANTE",IF(G207&lt;0,"NEGATIVO",IF(H207&lt;&gt;"mm","UNIDAD",IF(COUNTIF($A$20:A207,A207)&gt;1,"DUPLICADO","OK"))))</f>
        <v>OK</v>
      </c>
    </row>
    <row r="208" spans="1:12" ht="22.8">
      <c r="A208" s="13">
        <v>35309</v>
      </c>
      <c r="B208" s="15">
        <v>1996</v>
      </c>
      <c r="C208" s="15">
        <v>9</v>
      </c>
      <c r="D208" s="15" t="s">
        <v>155</v>
      </c>
      <c r="E208" s="15" t="str">
        <f>'Hoja 1 - Área y fuentes'!C20</f>
        <v>Serie sintética de capacitación</v>
      </c>
      <c r="F208" s="15" t="str">
        <f>'Hoja 1 - Área y fuentes'!D20</f>
        <v>DID-001</v>
      </c>
      <c r="G208" s="12">
        <v>124.7</v>
      </c>
      <c r="H208" s="10" t="s">
        <v>56</v>
      </c>
      <c r="I208" s="10" t="s">
        <v>50</v>
      </c>
      <c r="J208" s="15" t="str">
        <f>'Hoja 1 - Área y fuentes'!M20</f>
        <v>Sustituir por IDEAM u otra fuente oficial</v>
      </c>
      <c r="K208" s="10" t="s">
        <v>165</v>
      </c>
      <c r="L208" s="15" t="str">
        <f>IF(G208="","FALTANTE",IF(G208&lt;0,"NEGATIVO",IF(H208&lt;&gt;"mm","UNIDAD",IF(COUNTIF($A$20:A208,A208)&gt;1,"DUPLICADO","OK"))))</f>
        <v>OK</v>
      </c>
    </row>
    <row r="209" spans="1:12" ht="22.8">
      <c r="A209" s="13">
        <v>35339</v>
      </c>
      <c r="B209" s="15">
        <v>1996</v>
      </c>
      <c r="C209" s="15">
        <v>10</v>
      </c>
      <c r="D209" s="15" t="s">
        <v>157</v>
      </c>
      <c r="E209" s="15" t="str">
        <f>'Hoja 1 - Área y fuentes'!C20</f>
        <v>Serie sintética de capacitación</v>
      </c>
      <c r="F209" s="15" t="str">
        <f>'Hoja 1 - Área y fuentes'!D20</f>
        <v>DID-001</v>
      </c>
      <c r="G209" s="12">
        <v>167.9</v>
      </c>
      <c r="H209" s="10" t="s">
        <v>56</v>
      </c>
      <c r="I209" s="10" t="s">
        <v>50</v>
      </c>
      <c r="J209" s="15" t="str">
        <f>'Hoja 1 - Área y fuentes'!M20</f>
        <v>Sustituir por IDEAM u otra fuente oficial</v>
      </c>
      <c r="K209" s="10" t="s">
        <v>165</v>
      </c>
      <c r="L209" s="15" t="str">
        <f>IF(G209="","FALTANTE",IF(G209&lt;0,"NEGATIVO",IF(H209&lt;&gt;"mm","UNIDAD",IF(COUNTIF($A$20:A209,A209)&gt;1,"DUPLICADO","OK"))))</f>
        <v>OK</v>
      </c>
    </row>
    <row r="210" spans="1:12" ht="22.8">
      <c r="A210" s="13">
        <v>35370</v>
      </c>
      <c r="B210" s="15">
        <v>1996</v>
      </c>
      <c r="C210" s="15">
        <v>11</v>
      </c>
      <c r="D210" s="15" t="s">
        <v>158</v>
      </c>
      <c r="E210" s="15" t="str">
        <f>'Hoja 1 - Área y fuentes'!C20</f>
        <v>Serie sintética de capacitación</v>
      </c>
      <c r="F210" s="15" t="str">
        <f>'Hoja 1 - Área y fuentes'!D20</f>
        <v>DID-001</v>
      </c>
      <c r="G210" s="12">
        <v>143.6</v>
      </c>
      <c r="H210" s="10" t="s">
        <v>56</v>
      </c>
      <c r="I210" s="10" t="s">
        <v>50</v>
      </c>
      <c r="J210" s="15" t="str">
        <f>'Hoja 1 - Área y fuentes'!M20</f>
        <v>Sustituir por IDEAM u otra fuente oficial</v>
      </c>
      <c r="K210" s="10" t="s">
        <v>165</v>
      </c>
      <c r="L210" s="15" t="str">
        <f>IF(G210="","FALTANTE",IF(G210&lt;0,"NEGATIVO",IF(H210&lt;&gt;"mm","UNIDAD",IF(COUNTIF($A$20:A210,A210)&gt;1,"DUPLICADO","OK"))))</f>
        <v>OK</v>
      </c>
    </row>
    <row r="211" spans="1:12" ht="22.8">
      <c r="A211" s="13">
        <v>35400</v>
      </c>
      <c r="B211" s="15">
        <v>1996</v>
      </c>
      <c r="C211" s="15">
        <v>12</v>
      </c>
      <c r="D211" s="15" t="s">
        <v>164</v>
      </c>
      <c r="E211" s="15" t="str">
        <f>'Hoja 1 - Área y fuentes'!C20</f>
        <v>Serie sintética de capacitación</v>
      </c>
      <c r="F211" s="15" t="str">
        <f>'Hoja 1 - Área y fuentes'!D20</f>
        <v>DID-001</v>
      </c>
      <c r="G211" s="12">
        <v>86.3</v>
      </c>
      <c r="H211" s="10" t="s">
        <v>56</v>
      </c>
      <c r="I211" s="10" t="s">
        <v>50</v>
      </c>
      <c r="J211" s="15" t="str">
        <f>'Hoja 1 - Área y fuentes'!M20</f>
        <v>Sustituir por IDEAM u otra fuente oficial</v>
      </c>
      <c r="K211" s="10" t="s">
        <v>165</v>
      </c>
      <c r="L211" s="15" t="str">
        <f>IF(G211="","FALTANTE",IF(G211&lt;0,"NEGATIVO",IF(H211&lt;&gt;"mm","UNIDAD",IF(COUNTIF($A$20:A211,A211)&gt;1,"DUPLICADO","OK"))))</f>
        <v>OK</v>
      </c>
    </row>
    <row r="212" spans="1:12" ht="22.8">
      <c r="A212" s="13">
        <v>35431</v>
      </c>
      <c r="B212" s="15">
        <v>1997</v>
      </c>
      <c r="C212" s="15">
        <v>1</v>
      </c>
      <c r="D212" s="15" t="s">
        <v>134</v>
      </c>
      <c r="E212" s="15" t="str">
        <f>'Hoja 1 - Área y fuentes'!C20</f>
        <v>Serie sintética de capacitación</v>
      </c>
      <c r="F212" s="15" t="str">
        <f>'Hoja 1 - Área y fuentes'!D20</f>
        <v>DID-001</v>
      </c>
      <c r="G212" s="12">
        <v>74.099999999999994</v>
      </c>
      <c r="H212" s="10" t="s">
        <v>56</v>
      </c>
      <c r="I212" s="10" t="s">
        <v>50</v>
      </c>
      <c r="J212" s="15" t="str">
        <f>'Hoja 1 - Área y fuentes'!M20</f>
        <v>Sustituir por IDEAM u otra fuente oficial</v>
      </c>
      <c r="K212" s="10" t="s">
        <v>165</v>
      </c>
      <c r="L212" s="15" t="str">
        <f>IF(G212="","FALTANTE",IF(G212&lt;0,"NEGATIVO",IF(H212&lt;&gt;"mm","UNIDAD",IF(COUNTIF($A$20:A212,A212)&gt;1,"DUPLICADO","OK"))))</f>
        <v>OK</v>
      </c>
    </row>
    <row r="213" spans="1:12" ht="22.8">
      <c r="A213" s="13">
        <v>35462</v>
      </c>
      <c r="B213" s="15">
        <v>1997</v>
      </c>
      <c r="C213" s="15">
        <v>2</v>
      </c>
      <c r="D213" s="15" t="s">
        <v>141</v>
      </c>
      <c r="E213" s="15" t="str">
        <f>'Hoja 1 - Área y fuentes'!C20</f>
        <v>Serie sintética de capacitación</v>
      </c>
      <c r="F213" s="15" t="str">
        <f>'Hoja 1 - Área y fuentes'!D20</f>
        <v>DID-001</v>
      </c>
      <c r="G213" s="12">
        <v>85.5</v>
      </c>
      <c r="H213" s="10" t="s">
        <v>56</v>
      </c>
      <c r="I213" s="10" t="s">
        <v>50</v>
      </c>
      <c r="J213" s="15" t="str">
        <f>'Hoja 1 - Área y fuentes'!M20</f>
        <v>Sustituir por IDEAM u otra fuente oficial</v>
      </c>
      <c r="K213" s="10" t="s">
        <v>165</v>
      </c>
      <c r="L213" s="15" t="str">
        <f>IF(G213="","FALTANTE",IF(G213&lt;0,"NEGATIVO",IF(H213&lt;&gt;"mm","UNIDAD",IF(COUNTIF($A$20:A213,A213)&gt;1,"DUPLICADO","OK"))))</f>
        <v>OK</v>
      </c>
    </row>
    <row r="214" spans="1:12" ht="22.8">
      <c r="A214" s="13">
        <v>35490</v>
      </c>
      <c r="B214" s="15">
        <v>1997</v>
      </c>
      <c r="C214" s="15">
        <v>3</v>
      </c>
      <c r="D214" s="15" t="s">
        <v>148</v>
      </c>
      <c r="E214" s="15" t="str">
        <f>'Hoja 1 - Área y fuentes'!C20</f>
        <v>Serie sintética de capacitación</v>
      </c>
      <c r="F214" s="15" t="str">
        <f>'Hoja 1 - Área y fuentes'!D20</f>
        <v>DID-001</v>
      </c>
      <c r="G214" s="12">
        <v>125.3</v>
      </c>
      <c r="H214" s="10" t="s">
        <v>56</v>
      </c>
      <c r="I214" s="10" t="s">
        <v>50</v>
      </c>
      <c r="J214" s="15" t="str">
        <f>'Hoja 1 - Área y fuentes'!M20</f>
        <v>Sustituir por IDEAM u otra fuente oficial</v>
      </c>
      <c r="K214" s="10" t="s">
        <v>165</v>
      </c>
      <c r="L214" s="15" t="str">
        <f>IF(G214="","FALTANTE",IF(G214&lt;0,"NEGATIVO",IF(H214&lt;&gt;"mm","UNIDAD",IF(COUNTIF($A$20:A214,A214)&gt;1,"DUPLICADO","OK"))))</f>
        <v>OK</v>
      </c>
    </row>
    <row r="215" spans="1:12" ht="22.8">
      <c r="A215" s="13">
        <v>35521</v>
      </c>
      <c r="B215" s="15">
        <v>1997</v>
      </c>
      <c r="C215" s="15">
        <v>4</v>
      </c>
      <c r="D215" s="15" t="s">
        <v>149</v>
      </c>
      <c r="E215" s="15" t="str">
        <f>'Hoja 1 - Área y fuentes'!C20</f>
        <v>Serie sintética de capacitación</v>
      </c>
      <c r="F215" s="15" t="str">
        <f>'Hoja 1 - Área y fuentes'!D20</f>
        <v>DID-001</v>
      </c>
      <c r="G215" s="12">
        <v>176.6</v>
      </c>
      <c r="H215" s="10" t="s">
        <v>56</v>
      </c>
      <c r="I215" s="10" t="s">
        <v>50</v>
      </c>
      <c r="J215" s="15" t="str">
        <f>'Hoja 1 - Área y fuentes'!M20</f>
        <v>Sustituir por IDEAM u otra fuente oficial</v>
      </c>
      <c r="K215" s="10" t="s">
        <v>165</v>
      </c>
      <c r="L215" s="15" t="str">
        <f>IF(G215="","FALTANTE",IF(G215&lt;0,"NEGATIVO",IF(H215&lt;&gt;"mm","UNIDAD",IF(COUNTIF($A$20:A215,A215)&gt;1,"DUPLICADO","OK"))))</f>
        <v>OK</v>
      </c>
    </row>
    <row r="216" spans="1:12" ht="22.8">
      <c r="A216" s="13">
        <v>35551</v>
      </c>
      <c r="B216" s="15">
        <v>1997</v>
      </c>
      <c r="C216" s="15">
        <v>5</v>
      </c>
      <c r="D216" s="15" t="s">
        <v>151</v>
      </c>
      <c r="E216" s="15" t="str">
        <f>'Hoja 1 - Área y fuentes'!C20</f>
        <v>Serie sintética de capacitación</v>
      </c>
      <c r="F216" s="15" t="str">
        <f>'Hoja 1 - Área y fuentes'!D20</f>
        <v>DID-001</v>
      </c>
      <c r="G216" s="12">
        <v>159.5</v>
      </c>
      <c r="H216" s="10" t="s">
        <v>56</v>
      </c>
      <c r="I216" s="10" t="s">
        <v>50</v>
      </c>
      <c r="J216" s="15" t="str">
        <f>'Hoja 1 - Área y fuentes'!M20</f>
        <v>Sustituir por IDEAM u otra fuente oficial</v>
      </c>
      <c r="K216" s="10" t="s">
        <v>165</v>
      </c>
      <c r="L216" s="15" t="str">
        <f>IF(G216="","FALTANTE",IF(G216&lt;0,"NEGATIVO",IF(H216&lt;&gt;"mm","UNIDAD",IF(COUNTIF($A$20:A216,A216)&gt;1,"DUPLICADO","OK"))))</f>
        <v>OK</v>
      </c>
    </row>
    <row r="217" spans="1:12" ht="22.8">
      <c r="A217" s="13">
        <v>35582</v>
      </c>
      <c r="B217" s="15">
        <v>1997</v>
      </c>
      <c r="C217" s="15">
        <v>6</v>
      </c>
      <c r="D217" s="15" t="s">
        <v>152</v>
      </c>
      <c r="E217" s="15" t="str">
        <f>'Hoja 1 - Área y fuentes'!C20</f>
        <v>Serie sintética de capacitación</v>
      </c>
      <c r="F217" s="15" t="str">
        <f>'Hoja 1 - Área y fuentes'!D20</f>
        <v>DID-001</v>
      </c>
      <c r="G217" s="12">
        <v>96.8</v>
      </c>
      <c r="H217" s="10" t="s">
        <v>56</v>
      </c>
      <c r="I217" s="10" t="s">
        <v>50</v>
      </c>
      <c r="J217" s="15" t="str">
        <f>'Hoja 1 - Área y fuentes'!M20</f>
        <v>Sustituir por IDEAM u otra fuente oficial</v>
      </c>
      <c r="K217" s="10" t="s">
        <v>165</v>
      </c>
      <c r="L217" s="15" t="str">
        <f>IF(G217="","FALTANTE",IF(G217&lt;0,"NEGATIVO",IF(H217&lt;&gt;"mm","UNIDAD",IF(COUNTIF($A$20:A217,A217)&gt;1,"DUPLICADO","OK"))))</f>
        <v>OK</v>
      </c>
    </row>
    <row r="218" spans="1:12" ht="22.8">
      <c r="A218" s="13">
        <v>35612</v>
      </c>
      <c r="B218" s="15">
        <v>1997</v>
      </c>
      <c r="C218" s="15">
        <v>7</v>
      </c>
      <c r="D218" s="15" t="s">
        <v>153</v>
      </c>
      <c r="E218" s="15" t="str">
        <f>'Hoja 1 - Área y fuentes'!C20</f>
        <v>Serie sintética de capacitación</v>
      </c>
      <c r="F218" s="15" t="str">
        <f>'Hoja 1 - Área y fuentes'!D20</f>
        <v>DID-001</v>
      </c>
      <c r="G218" s="12">
        <v>79.8</v>
      </c>
      <c r="H218" s="10" t="s">
        <v>56</v>
      </c>
      <c r="I218" s="10" t="s">
        <v>50</v>
      </c>
      <c r="J218" s="15" t="str">
        <f>'Hoja 1 - Área y fuentes'!M20</f>
        <v>Sustituir por IDEAM u otra fuente oficial</v>
      </c>
      <c r="K218" s="10" t="s">
        <v>165</v>
      </c>
      <c r="L218" s="15" t="str">
        <f>IF(G218="","FALTANTE",IF(G218&lt;0,"NEGATIVO",IF(H218&lt;&gt;"mm","UNIDAD",IF(COUNTIF($A$20:A218,A218)&gt;1,"DUPLICADO","OK"))))</f>
        <v>OK</v>
      </c>
    </row>
    <row r="219" spans="1:12" ht="22.8">
      <c r="A219" s="13">
        <v>35643</v>
      </c>
      <c r="B219" s="15">
        <v>1997</v>
      </c>
      <c r="C219" s="15">
        <v>8</v>
      </c>
      <c r="D219" s="15" t="s">
        <v>154</v>
      </c>
      <c r="E219" s="15" t="str">
        <f>'Hoja 1 - Área y fuentes'!C20</f>
        <v>Serie sintética de capacitación</v>
      </c>
      <c r="F219" s="15" t="str">
        <f>'Hoja 1 - Área y fuentes'!D20</f>
        <v>DID-001</v>
      </c>
      <c r="G219" s="12">
        <v>85.4</v>
      </c>
      <c r="H219" s="10" t="s">
        <v>56</v>
      </c>
      <c r="I219" s="10" t="s">
        <v>50</v>
      </c>
      <c r="J219" s="15" t="str">
        <f>'Hoja 1 - Área y fuentes'!M20</f>
        <v>Sustituir por IDEAM u otra fuente oficial</v>
      </c>
      <c r="K219" s="10" t="s">
        <v>165</v>
      </c>
      <c r="L219" s="15" t="str">
        <f>IF(G219="","FALTANTE",IF(G219&lt;0,"NEGATIVO",IF(H219&lt;&gt;"mm","UNIDAD",IF(COUNTIF($A$20:A219,A219)&gt;1,"DUPLICADO","OK"))))</f>
        <v>OK</v>
      </c>
    </row>
    <row r="220" spans="1:12" ht="22.8">
      <c r="A220" s="13">
        <v>35674</v>
      </c>
      <c r="B220" s="15">
        <v>1997</v>
      </c>
      <c r="C220" s="15">
        <v>9</v>
      </c>
      <c r="D220" s="15" t="s">
        <v>155</v>
      </c>
      <c r="E220" s="15" t="str">
        <f>'Hoja 1 - Área y fuentes'!C20</f>
        <v>Serie sintética de capacitación</v>
      </c>
      <c r="F220" s="15" t="str">
        <f>'Hoja 1 - Área y fuentes'!D20</f>
        <v>DID-001</v>
      </c>
      <c r="G220" s="12">
        <v>136.69999999999999</v>
      </c>
      <c r="H220" s="10" t="s">
        <v>56</v>
      </c>
      <c r="I220" s="10" t="s">
        <v>50</v>
      </c>
      <c r="J220" s="15" t="str">
        <f>'Hoja 1 - Área y fuentes'!M20</f>
        <v>Sustituir por IDEAM u otra fuente oficial</v>
      </c>
      <c r="K220" s="10" t="s">
        <v>165</v>
      </c>
      <c r="L220" s="15" t="str">
        <f>IF(G220="","FALTANTE",IF(G220&lt;0,"NEGATIVO",IF(H220&lt;&gt;"mm","UNIDAD",IF(COUNTIF($A$20:A220,A220)&gt;1,"DUPLICADO","OK"))))</f>
        <v>OK</v>
      </c>
    </row>
    <row r="221" spans="1:12" ht="22.8">
      <c r="A221" s="13">
        <v>35704</v>
      </c>
      <c r="B221" s="15">
        <v>1997</v>
      </c>
      <c r="C221" s="15">
        <v>10</v>
      </c>
      <c r="D221" s="15" t="s">
        <v>157</v>
      </c>
      <c r="E221" s="15" t="str">
        <f>'Hoja 1 - Área y fuentes'!C20</f>
        <v>Serie sintética de capacitación</v>
      </c>
      <c r="F221" s="15" t="str">
        <f>'Hoja 1 - Área y fuentes'!D20</f>
        <v>DID-001</v>
      </c>
      <c r="G221" s="12">
        <v>182.3</v>
      </c>
      <c r="H221" s="10" t="s">
        <v>56</v>
      </c>
      <c r="I221" s="10" t="s">
        <v>50</v>
      </c>
      <c r="J221" s="15" t="str">
        <f>'Hoja 1 - Área y fuentes'!M20</f>
        <v>Sustituir por IDEAM u otra fuente oficial</v>
      </c>
      <c r="K221" s="10" t="s">
        <v>165</v>
      </c>
      <c r="L221" s="15" t="str">
        <f>IF(G221="","FALTANTE",IF(G221&lt;0,"NEGATIVO",IF(H221&lt;&gt;"mm","UNIDAD",IF(COUNTIF($A$20:A221,A221)&gt;1,"DUPLICADO","OK"))))</f>
        <v>OK</v>
      </c>
    </row>
    <row r="222" spans="1:12" ht="22.8">
      <c r="A222" s="13">
        <v>35735</v>
      </c>
      <c r="B222" s="15">
        <v>1997</v>
      </c>
      <c r="C222" s="15">
        <v>11</v>
      </c>
      <c r="D222" s="15" t="s">
        <v>158</v>
      </c>
      <c r="E222" s="15" t="str">
        <f>'Hoja 1 - Área y fuentes'!C20</f>
        <v>Serie sintética de capacitación</v>
      </c>
      <c r="F222" s="15" t="str">
        <f>'Hoja 1 - Área y fuentes'!D20</f>
        <v>DID-001</v>
      </c>
      <c r="G222" s="12">
        <v>153.80000000000001</v>
      </c>
      <c r="H222" s="10" t="s">
        <v>56</v>
      </c>
      <c r="I222" s="10" t="s">
        <v>50</v>
      </c>
      <c r="J222" s="15" t="str">
        <f>'Hoja 1 - Área y fuentes'!M20</f>
        <v>Sustituir por IDEAM u otra fuente oficial</v>
      </c>
      <c r="K222" s="10" t="s">
        <v>165</v>
      </c>
      <c r="L222" s="15" t="str">
        <f>IF(G222="","FALTANTE",IF(G222&lt;0,"NEGATIVO",IF(H222&lt;&gt;"mm","UNIDAD",IF(COUNTIF($A$20:A222,A222)&gt;1,"DUPLICADO","OK"))))</f>
        <v>OK</v>
      </c>
    </row>
    <row r="223" spans="1:12" ht="22.8">
      <c r="A223" s="13">
        <v>35765</v>
      </c>
      <c r="B223" s="15">
        <v>1997</v>
      </c>
      <c r="C223" s="15">
        <v>12</v>
      </c>
      <c r="D223" s="15" t="s">
        <v>164</v>
      </c>
      <c r="E223" s="15" t="str">
        <f>'Hoja 1 - Área y fuentes'!C20</f>
        <v>Serie sintética de capacitación</v>
      </c>
      <c r="F223" s="15" t="str">
        <f>'Hoja 1 - Área y fuentes'!D20</f>
        <v>DID-001</v>
      </c>
      <c r="G223" s="12">
        <v>91.1</v>
      </c>
      <c r="H223" s="10" t="s">
        <v>56</v>
      </c>
      <c r="I223" s="10" t="s">
        <v>50</v>
      </c>
      <c r="J223" s="15" t="str">
        <f>'Hoja 1 - Área y fuentes'!M20</f>
        <v>Sustituir por IDEAM u otra fuente oficial</v>
      </c>
      <c r="K223" s="10" t="s">
        <v>165</v>
      </c>
      <c r="L223" s="15" t="str">
        <f>IF(G223="","FALTANTE",IF(G223&lt;0,"NEGATIVO",IF(H223&lt;&gt;"mm","UNIDAD",IF(COUNTIF($A$20:A223,A223)&gt;1,"DUPLICADO","OK"))))</f>
        <v>OK</v>
      </c>
    </row>
    <row r="224" spans="1:12" ht="22.8">
      <c r="A224" s="13">
        <v>35796</v>
      </c>
      <c r="B224" s="15">
        <v>1998</v>
      </c>
      <c r="C224" s="15">
        <v>1</v>
      </c>
      <c r="D224" s="15" t="s">
        <v>134</v>
      </c>
      <c r="E224" s="15" t="str">
        <f>'Hoja 1 - Área y fuentes'!C20</f>
        <v>Serie sintética de capacitación</v>
      </c>
      <c r="F224" s="15" t="str">
        <f>'Hoja 1 - Área y fuentes'!D20</f>
        <v>DID-001</v>
      </c>
      <c r="G224" s="12">
        <v>65.2</v>
      </c>
      <c r="H224" s="10" t="s">
        <v>56</v>
      </c>
      <c r="I224" s="10" t="s">
        <v>50</v>
      </c>
      <c r="J224" s="15" t="str">
        <f>'Hoja 1 - Área y fuentes'!M20</f>
        <v>Sustituir por IDEAM u otra fuente oficial</v>
      </c>
      <c r="K224" s="10" t="s">
        <v>165</v>
      </c>
      <c r="L224" s="15" t="str">
        <f>IF(G224="","FALTANTE",IF(G224&lt;0,"NEGATIVO",IF(H224&lt;&gt;"mm","UNIDAD",IF(COUNTIF($A$20:A224,A224)&gt;1,"DUPLICADO","OK"))))</f>
        <v>OK</v>
      </c>
    </row>
    <row r="225" spans="1:12" ht="22.8">
      <c r="A225" s="13">
        <v>35827</v>
      </c>
      <c r="B225" s="15">
        <v>1998</v>
      </c>
      <c r="C225" s="15">
        <v>2</v>
      </c>
      <c r="D225" s="15" t="s">
        <v>141</v>
      </c>
      <c r="E225" s="15" t="str">
        <f>'Hoja 1 - Área y fuentes'!C20</f>
        <v>Serie sintética de capacitación</v>
      </c>
      <c r="F225" s="15" t="str">
        <f>'Hoja 1 - Área y fuentes'!D20</f>
        <v>DID-001</v>
      </c>
      <c r="G225" s="12">
        <v>74.2</v>
      </c>
      <c r="H225" s="10" t="s">
        <v>56</v>
      </c>
      <c r="I225" s="10" t="s">
        <v>50</v>
      </c>
      <c r="J225" s="15" t="str">
        <f>'Hoja 1 - Área y fuentes'!M20</f>
        <v>Sustituir por IDEAM u otra fuente oficial</v>
      </c>
      <c r="K225" s="10" t="s">
        <v>165</v>
      </c>
      <c r="L225" s="15" t="str">
        <f>IF(G225="","FALTANTE",IF(G225&lt;0,"NEGATIVO",IF(H225&lt;&gt;"mm","UNIDAD",IF(COUNTIF($A$20:A225,A225)&gt;1,"DUPLICADO","OK"))))</f>
        <v>OK</v>
      </c>
    </row>
    <row r="226" spans="1:12" ht="22.8">
      <c r="A226" s="13">
        <v>35855</v>
      </c>
      <c r="B226" s="15">
        <v>1998</v>
      </c>
      <c r="C226" s="15">
        <v>3</v>
      </c>
      <c r="D226" s="15" t="s">
        <v>148</v>
      </c>
      <c r="E226" s="15" t="str">
        <f>'Hoja 1 - Área y fuentes'!C20</f>
        <v>Serie sintética de capacitación</v>
      </c>
      <c r="F226" s="15" t="str">
        <f>'Hoja 1 - Área y fuentes'!D20</f>
        <v>DID-001</v>
      </c>
      <c r="G226" s="12">
        <v>107</v>
      </c>
      <c r="H226" s="10" t="s">
        <v>56</v>
      </c>
      <c r="I226" s="10" t="s">
        <v>50</v>
      </c>
      <c r="J226" s="15" t="str">
        <f>'Hoja 1 - Área y fuentes'!M20</f>
        <v>Sustituir por IDEAM u otra fuente oficial</v>
      </c>
      <c r="K226" s="10" t="s">
        <v>165</v>
      </c>
      <c r="L226" s="15" t="str">
        <f>IF(G226="","FALTANTE",IF(G226&lt;0,"NEGATIVO",IF(H226&lt;&gt;"mm","UNIDAD",IF(COUNTIF($A$20:A226,A226)&gt;1,"DUPLICADO","OK"))))</f>
        <v>OK</v>
      </c>
    </row>
    <row r="227" spans="1:12" ht="22.8">
      <c r="A227" s="13">
        <v>35886</v>
      </c>
      <c r="B227" s="15">
        <v>1998</v>
      </c>
      <c r="C227" s="15">
        <v>4</v>
      </c>
      <c r="D227" s="15" t="s">
        <v>149</v>
      </c>
      <c r="E227" s="15" t="str">
        <f>'Hoja 1 - Área y fuentes'!C20</f>
        <v>Serie sintética de capacitación</v>
      </c>
      <c r="F227" s="15" t="str">
        <f>'Hoja 1 - Área y fuentes'!D20</f>
        <v>DID-001</v>
      </c>
      <c r="G227" s="12">
        <v>148.19999999999999</v>
      </c>
      <c r="H227" s="10" t="s">
        <v>56</v>
      </c>
      <c r="I227" s="10" t="s">
        <v>50</v>
      </c>
      <c r="J227" s="15" t="str">
        <f>'Hoja 1 - Área y fuentes'!M20</f>
        <v>Sustituir por IDEAM u otra fuente oficial</v>
      </c>
      <c r="K227" s="10" t="s">
        <v>165</v>
      </c>
      <c r="L227" s="15" t="str">
        <f>IF(G227="","FALTANTE",IF(G227&lt;0,"NEGATIVO",IF(H227&lt;&gt;"mm","UNIDAD",IF(COUNTIF($A$20:A227,A227)&gt;1,"DUPLICADO","OK"))))</f>
        <v>OK</v>
      </c>
    </row>
    <row r="228" spans="1:12" ht="22.8">
      <c r="A228" s="13">
        <v>35916</v>
      </c>
      <c r="B228" s="15">
        <v>1998</v>
      </c>
      <c r="C228" s="15">
        <v>5</v>
      </c>
      <c r="D228" s="15" t="s">
        <v>151</v>
      </c>
      <c r="E228" s="15" t="str">
        <f>'Hoja 1 - Área y fuentes'!C20</f>
        <v>Serie sintética de capacitación</v>
      </c>
      <c r="F228" s="15" t="str">
        <f>'Hoja 1 - Área y fuentes'!D20</f>
        <v>DID-001</v>
      </c>
      <c r="G228" s="12">
        <v>131.80000000000001</v>
      </c>
      <c r="H228" s="10" t="s">
        <v>56</v>
      </c>
      <c r="I228" s="10" t="s">
        <v>50</v>
      </c>
      <c r="J228" s="15" t="str">
        <f>'Hoja 1 - Área y fuentes'!M20</f>
        <v>Sustituir por IDEAM u otra fuente oficial</v>
      </c>
      <c r="K228" s="10" t="s">
        <v>165</v>
      </c>
      <c r="L228" s="15" t="str">
        <f>IF(G228="","FALTANTE",IF(G228&lt;0,"NEGATIVO",IF(H228&lt;&gt;"mm","UNIDAD",IF(COUNTIF($A$20:A228,A228)&gt;1,"DUPLICADO","OK"))))</f>
        <v>OK</v>
      </c>
    </row>
    <row r="229" spans="1:12" ht="22.8">
      <c r="A229" s="13">
        <v>35947</v>
      </c>
      <c r="B229" s="15">
        <v>1998</v>
      </c>
      <c r="C229" s="15">
        <v>6</v>
      </c>
      <c r="D229" s="15" t="s">
        <v>152</v>
      </c>
      <c r="E229" s="15" t="str">
        <f>'Hoja 1 - Área y fuentes'!C20</f>
        <v>Serie sintética de capacitación</v>
      </c>
      <c r="F229" s="15" t="str">
        <f>'Hoja 1 - Área y fuentes'!D20</f>
        <v>DID-001</v>
      </c>
      <c r="G229" s="12">
        <v>79.099999999999994</v>
      </c>
      <c r="H229" s="10" t="s">
        <v>56</v>
      </c>
      <c r="I229" s="10" t="s">
        <v>50</v>
      </c>
      <c r="J229" s="15" t="str">
        <f>'Hoja 1 - Área y fuentes'!M20</f>
        <v>Sustituir por IDEAM u otra fuente oficial</v>
      </c>
      <c r="K229" s="10" t="s">
        <v>165</v>
      </c>
      <c r="L229" s="15" t="str">
        <f>IF(G229="","FALTANTE",IF(G229&lt;0,"NEGATIVO",IF(H229&lt;&gt;"mm","UNIDAD",IF(COUNTIF($A$20:A229,A229)&gt;1,"DUPLICADO","OK"))))</f>
        <v>OK</v>
      </c>
    </row>
    <row r="230" spans="1:12" ht="22.8">
      <c r="A230" s="13">
        <v>35977</v>
      </c>
      <c r="B230" s="15">
        <v>1998</v>
      </c>
      <c r="C230" s="15">
        <v>7</v>
      </c>
      <c r="D230" s="15" t="s">
        <v>153</v>
      </c>
      <c r="E230" s="15" t="str">
        <f>'Hoja 1 - Área y fuentes'!C20</f>
        <v>Serie sintética de capacitación</v>
      </c>
      <c r="F230" s="15" t="str">
        <f>'Hoja 1 - Área y fuentes'!D20</f>
        <v>DID-001</v>
      </c>
      <c r="G230" s="12">
        <v>64.8</v>
      </c>
      <c r="H230" s="10" t="s">
        <v>56</v>
      </c>
      <c r="I230" s="10" t="s">
        <v>50</v>
      </c>
      <c r="J230" s="15" t="str">
        <f>'Hoja 1 - Área y fuentes'!M20</f>
        <v>Sustituir por IDEAM u otra fuente oficial</v>
      </c>
      <c r="K230" s="10" t="s">
        <v>165</v>
      </c>
      <c r="L230" s="15" t="str">
        <f>IF(G230="","FALTANTE",IF(G230&lt;0,"NEGATIVO",IF(H230&lt;&gt;"mm","UNIDAD",IF(COUNTIF($A$20:A230,A230)&gt;1,"DUPLICADO","OK"))))</f>
        <v>OK</v>
      </c>
    </row>
    <row r="231" spans="1:12" ht="22.8">
      <c r="A231" s="13">
        <v>36008</v>
      </c>
      <c r="B231" s="15">
        <v>1998</v>
      </c>
      <c r="C231" s="15">
        <v>8</v>
      </c>
      <c r="D231" s="15" t="s">
        <v>154</v>
      </c>
      <c r="E231" s="15" t="str">
        <f>'Hoja 1 - Área y fuentes'!C20</f>
        <v>Serie sintética de capacitación</v>
      </c>
      <c r="F231" s="15" t="str">
        <f>'Hoja 1 - Área y fuentes'!D20</f>
        <v>DID-001</v>
      </c>
      <c r="G231" s="12">
        <v>69.5</v>
      </c>
      <c r="H231" s="10" t="s">
        <v>56</v>
      </c>
      <c r="I231" s="10" t="s">
        <v>50</v>
      </c>
      <c r="J231" s="15" t="str">
        <f>'Hoja 1 - Área y fuentes'!M20</f>
        <v>Sustituir por IDEAM u otra fuente oficial</v>
      </c>
      <c r="K231" s="10" t="s">
        <v>165</v>
      </c>
      <c r="L231" s="15" t="str">
        <f>IF(G231="","FALTANTE",IF(G231&lt;0,"NEGATIVO",IF(H231&lt;&gt;"mm","UNIDAD",IF(COUNTIF($A$20:A231,A231)&gt;1,"DUPLICADO","OK"))))</f>
        <v>OK</v>
      </c>
    </row>
    <row r="232" spans="1:12" ht="22.8">
      <c r="A232" s="13">
        <v>36039</v>
      </c>
      <c r="B232" s="15">
        <v>1998</v>
      </c>
      <c r="C232" s="15">
        <v>9</v>
      </c>
      <c r="D232" s="15" t="s">
        <v>155</v>
      </c>
      <c r="E232" s="15" t="str">
        <f>'Hoja 1 - Área y fuentes'!C20</f>
        <v>Serie sintética de capacitación</v>
      </c>
      <c r="F232" s="15" t="str">
        <f>'Hoja 1 - Área y fuentes'!D20</f>
        <v>DID-001</v>
      </c>
      <c r="G232" s="12">
        <v>112</v>
      </c>
      <c r="H232" s="10" t="s">
        <v>56</v>
      </c>
      <c r="I232" s="10" t="s">
        <v>50</v>
      </c>
      <c r="J232" s="15" t="str">
        <f>'Hoja 1 - Área y fuentes'!M20</f>
        <v>Sustituir por IDEAM u otra fuente oficial</v>
      </c>
      <c r="K232" s="10" t="s">
        <v>165</v>
      </c>
      <c r="L232" s="15" t="str">
        <f>IF(G232="","FALTANTE",IF(G232&lt;0,"NEGATIVO",IF(H232&lt;&gt;"mm","UNIDAD",IF(COUNTIF($A$20:A232,A232)&gt;1,"DUPLICADO","OK"))))</f>
        <v>OK</v>
      </c>
    </row>
    <row r="233" spans="1:12" ht="22.8">
      <c r="A233" s="13">
        <v>36069</v>
      </c>
      <c r="B233" s="15">
        <v>1998</v>
      </c>
      <c r="C233" s="15">
        <v>10</v>
      </c>
      <c r="D233" s="15" t="s">
        <v>157</v>
      </c>
      <c r="E233" s="15" t="str">
        <f>'Hoja 1 - Área y fuentes'!C20</f>
        <v>Serie sintética de capacitación</v>
      </c>
      <c r="F233" s="15" t="str">
        <f>'Hoja 1 - Área y fuentes'!D20</f>
        <v>DID-001</v>
      </c>
      <c r="G233" s="12">
        <v>151.30000000000001</v>
      </c>
      <c r="H233" s="10" t="s">
        <v>56</v>
      </c>
      <c r="I233" s="10" t="s">
        <v>50</v>
      </c>
      <c r="J233" s="15" t="str">
        <f>'Hoja 1 - Área y fuentes'!M20</f>
        <v>Sustituir por IDEAM u otra fuente oficial</v>
      </c>
      <c r="K233" s="10" t="s">
        <v>165</v>
      </c>
      <c r="L233" s="15" t="str">
        <f>IF(G233="","FALTANTE",IF(G233&lt;0,"NEGATIVO",IF(H233&lt;&gt;"mm","UNIDAD",IF(COUNTIF($A$20:A233,A233)&gt;1,"DUPLICADO","OK"))))</f>
        <v>OK</v>
      </c>
    </row>
    <row r="234" spans="1:12" ht="22.8">
      <c r="A234" s="13">
        <v>36100</v>
      </c>
      <c r="B234" s="15">
        <v>1998</v>
      </c>
      <c r="C234" s="15">
        <v>11</v>
      </c>
      <c r="D234" s="15" t="s">
        <v>158</v>
      </c>
      <c r="E234" s="15" t="str">
        <f>'Hoja 1 - Área y fuentes'!C20</f>
        <v>Serie sintética de capacitación</v>
      </c>
      <c r="F234" s="15" t="str">
        <f>'Hoja 1 - Área y fuentes'!D20</f>
        <v>DID-001</v>
      </c>
      <c r="G234" s="12">
        <v>129.80000000000001</v>
      </c>
      <c r="H234" s="10" t="s">
        <v>56</v>
      </c>
      <c r="I234" s="10" t="s">
        <v>50</v>
      </c>
      <c r="J234" s="15" t="str">
        <f>'Hoja 1 - Área y fuentes'!M20</f>
        <v>Sustituir por IDEAM u otra fuente oficial</v>
      </c>
      <c r="K234" s="10" t="s">
        <v>165</v>
      </c>
      <c r="L234" s="15" t="str">
        <f>IF(G234="","FALTANTE",IF(G234&lt;0,"NEGATIVO",IF(H234&lt;&gt;"mm","UNIDAD",IF(COUNTIF($A$20:A234,A234)&gt;1,"DUPLICADO","OK"))))</f>
        <v>OK</v>
      </c>
    </row>
    <row r="235" spans="1:12" ht="22.8">
      <c r="A235" s="13">
        <v>36130</v>
      </c>
      <c r="B235" s="15">
        <v>1998</v>
      </c>
      <c r="C235" s="15">
        <v>12</v>
      </c>
      <c r="D235" s="15" t="s">
        <v>164</v>
      </c>
      <c r="E235" s="15" t="str">
        <f>'Hoja 1 - Área y fuentes'!C20</f>
        <v>Serie sintética de capacitación</v>
      </c>
      <c r="F235" s="15" t="str">
        <f>'Hoja 1 - Área y fuentes'!D20</f>
        <v>DID-001</v>
      </c>
      <c r="G235" s="12">
        <v>78.2</v>
      </c>
      <c r="H235" s="10" t="s">
        <v>56</v>
      </c>
      <c r="I235" s="10" t="s">
        <v>50</v>
      </c>
      <c r="J235" s="15" t="str">
        <f>'Hoja 1 - Área y fuentes'!M20</f>
        <v>Sustituir por IDEAM u otra fuente oficial</v>
      </c>
      <c r="K235" s="10" t="s">
        <v>165</v>
      </c>
      <c r="L235" s="15" t="str">
        <f>IF(G235="","FALTANTE",IF(G235&lt;0,"NEGATIVO",IF(H235&lt;&gt;"mm","UNIDAD",IF(COUNTIF($A$20:A235,A235)&gt;1,"DUPLICADO","OK"))))</f>
        <v>OK</v>
      </c>
    </row>
    <row r="236" spans="1:12" ht="22.8">
      <c r="A236" s="13">
        <v>36161</v>
      </c>
      <c r="B236" s="15">
        <v>1999</v>
      </c>
      <c r="C236" s="15">
        <v>1</v>
      </c>
      <c r="D236" s="15" t="s">
        <v>134</v>
      </c>
      <c r="E236" s="15" t="str">
        <f>'Hoja 1 - Área y fuentes'!C20</f>
        <v>Serie sintética de capacitación</v>
      </c>
      <c r="F236" s="15" t="str">
        <f>'Hoja 1 - Área y fuentes'!D20</f>
        <v>DID-001</v>
      </c>
      <c r="G236" s="12">
        <v>58.1</v>
      </c>
      <c r="H236" s="10" t="s">
        <v>56</v>
      </c>
      <c r="I236" s="10" t="s">
        <v>50</v>
      </c>
      <c r="J236" s="15" t="str">
        <f>'Hoja 1 - Área y fuentes'!M20</f>
        <v>Sustituir por IDEAM u otra fuente oficial</v>
      </c>
      <c r="K236" s="10" t="s">
        <v>165</v>
      </c>
      <c r="L236" s="15" t="str">
        <f>IF(G236="","FALTANTE",IF(G236&lt;0,"NEGATIVO",IF(H236&lt;&gt;"mm","UNIDAD",IF(COUNTIF($A$20:A236,A236)&gt;1,"DUPLICADO","OK"))))</f>
        <v>OK</v>
      </c>
    </row>
    <row r="237" spans="1:12" ht="22.8">
      <c r="A237" s="13">
        <v>36192</v>
      </c>
      <c r="B237" s="15">
        <v>1999</v>
      </c>
      <c r="C237" s="15">
        <v>2</v>
      </c>
      <c r="D237" s="15" t="s">
        <v>141</v>
      </c>
      <c r="E237" s="15" t="str">
        <f>'Hoja 1 - Área y fuentes'!C20</f>
        <v>Serie sintética de capacitación</v>
      </c>
      <c r="F237" s="15" t="str">
        <f>'Hoja 1 - Área y fuentes'!D20</f>
        <v>DID-001</v>
      </c>
      <c r="G237" s="12">
        <v>64.7</v>
      </c>
      <c r="H237" s="10" t="s">
        <v>56</v>
      </c>
      <c r="I237" s="10" t="s">
        <v>50</v>
      </c>
      <c r="J237" s="15" t="str">
        <f>'Hoja 1 - Área y fuentes'!M20</f>
        <v>Sustituir por IDEAM u otra fuente oficial</v>
      </c>
      <c r="K237" s="10" t="s">
        <v>165</v>
      </c>
      <c r="L237" s="15" t="str">
        <f>IF(G237="","FALTANTE",IF(G237&lt;0,"NEGATIVO",IF(H237&lt;&gt;"mm","UNIDAD",IF(COUNTIF($A$20:A237,A237)&gt;1,"DUPLICADO","OK"))))</f>
        <v>OK</v>
      </c>
    </row>
    <row r="238" spans="1:12" ht="22.8">
      <c r="A238" s="13">
        <v>36220</v>
      </c>
      <c r="B238" s="15">
        <v>1999</v>
      </c>
      <c r="C238" s="15">
        <v>3</v>
      </c>
      <c r="D238" s="15" t="s">
        <v>148</v>
      </c>
      <c r="E238" s="15" t="str">
        <f>'Hoja 1 - Área y fuentes'!C20</f>
        <v>Serie sintética de capacitación</v>
      </c>
      <c r="F238" s="15" t="str">
        <f>'Hoja 1 - Área y fuentes'!D20</f>
        <v>DID-001</v>
      </c>
      <c r="G238" s="12">
        <v>93</v>
      </c>
      <c r="H238" s="10" t="s">
        <v>56</v>
      </c>
      <c r="I238" s="10" t="s">
        <v>50</v>
      </c>
      <c r="J238" s="15" t="str">
        <f>'Hoja 1 - Área y fuentes'!M20</f>
        <v>Sustituir por IDEAM u otra fuente oficial</v>
      </c>
      <c r="K238" s="10" t="s">
        <v>165</v>
      </c>
      <c r="L238" s="15" t="str">
        <f>IF(G238="","FALTANTE",IF(G238&lt;0,"NEGATIVO",IF(H238&lt;&gt;"mm","UNIDAD",IF(COUNTIF($A$20:A238,A238)&gt;1,"DUPLICADO","OK"))))</f>
        <v>OK</v>
      </c>
    </row>
    <row r="239" spans="1:12" ht="22.8">
      <c r="A239" s="13">
        <v>36251</v>
      </c>
      <c r="B239" s="15">
        <v>1999</v>
      </c>
      <c r="C239" s="15">
        <v>4</v>
      </c>
      <c r="D239" s="15" t="s">
        <v>149</v>
      </c>
      <c r="E239" s="15" t="str">
        <f>'Hoja 1 - Área y fuentes'!C20</f>
        <v>Serie sintética de capacitación</v>
      </c>
      <c r="F239" s="15" t="str">
        <f>'Hoja 1 - Área y fuentes'!D20</f>
        <v>DID-001</v>
      </c>
      <c r="G239" s="12">
        <v>132.19999999999999</v>
      </c>
      <c r="H239" s="10" t="s">
        <v>56</v>
      </c>
      <c r="I239" s="10" t="s">
        <v>50</v>
      </c>
      <c r="J239" s="15" t="str">
        <f>'Hoja 1 - Área y fuentes'!M20</f>
        <v>Sustituir por IDEAM u otra fuente oficial</v>
      </c>
      <c r="K239" s="10" t="s">
        <v>165</v>
      </c>
      <c r="L239" s="15" t="str">
        <f>IF(G239="","FALTANTE",IF(G239&lt;0,"NEGATIVO",IF(H239&lt;&gt;"mm","UNIDAD",IF(COUNTIF($A$20:A239,A239)&gt;1,"DUPLICADO","OK"))))</f>
        <v>OK</v>
      </c>
    </row>
    <row r="240" spans="1:12" ht="22.8">
      <c r="A240" s="13">
        <v>36281</v>
      </c>
      <c r="B240" s="15">
        <v>1999</v>
      </c>
      <c r="C240" s="15">
        <v>5</v>
      </c>
      <c r="D240" s="15" t="s">
        <v>151</v>
      </c>
      <c r="E240" s="15" t="str">
        <f>'Hoja 1 - Área y fuentes'!C20</f>
        <v>Serie sintética de capacitación</v>
      </c>
      <c r="F240" s="15" t="str">
        <f>'Hoja 1 - Área y fuentes'!D20</f>
        <v>DID-001</v>
      </c>
      <c r="G240" s="12">
        <v>123.2</v>
      </c>
      <c r="H240" s="10" t="s">
        <v>56</v>
      </c>
      <c r="I240" s="10" t="s">
        <v>50</v>
      </c>
      <c r="J240" s="15" t="str">
        <f>'Hoja 1 - Área y fuentes'!M20</f>
        <v>Sustituir por IDEAM u otra fuente oficial</v>
      </c>
      <c r="K240" s="10" t="s">
        <v>165</v>
      </c>
      <c r="L240" s="15" t="str">
        <f>IF(G240="","FALTANTE",IF(G240&lt;0,"NEGATIVO",IF(H240&lt;&gt;"mm","UNIDAD",IF(COUNTIF($A$20:A240,A240)&gt;1,"DUPLICADO","OK"))))</f>
        <v>OK</v>
      </c>
    </row>
    <row r="241" spans="1:12" ht="22.8">
      <c r="A241" s="13">
        <v>36312</v>
      </c>
      <c r="B241" s="15">
        <v>1999</v>
      </c>
      <c r="C241" s="15">
        <v>6</v>
      </c>
      <c r="D241" s="15" t="s">
        <v>152</v>
      </c>
      <c r="E241" s="15" t="str">
        <f>'Hoja 1 - Área y fuentes'!C20</f>
        <v>Serie sintética de capacitación</v>
      </c>
      <c r="F241" s="15" t="str">
        <f>'Hoja 1 - Área y fuentes'!D20</f>
        <v>DID-001</v>
      </c>
      <c r="G241" s="12">
        <v>77.5</v>
      </c>
      <c r="H241" s="10" t="s">
        <v>56</v>
      </c>
      <c r="I241" s="10" t="s">
        <v>50</v>
      </c>
      <c r="J241" s="15" t="str">
        <f>'Hoja 1 - Área y fuentes'!M20</f>
        <v>Sustituir por IDEAM u otra fuente oficial</v>
      </c>
      <c r="K241" s="10" t="s">
        <v>165</v>
      </c>
      <c r="L241" s="15" t="str">
        <f>IF(G241="","FALTANTE",IF(G241&lt;0,"NEGATIVO",IF(H241&lt;&gt;"mm","UNIDAD",IF(COUNTIF($A$20:A241,A241)&gt;1,"DUPLICADO","OK"))))</f>
        <v>OK</v>
      </c>
    </row>
    <row r="242" spans="1:12" ht="22.8">
      <c r="A242" s="13">
        <v>36342</v>
      </c>
      <c r="B242" s="15">
        <v>1999</v>
      </c>
      <c r="C242" s="15">
        <v>7</v>
      </c>
      <c r="D242" s="15" t="s">
        <v>153</v>
      </c>
      <c r="E242" s="15" t="str">
        <f>'Hoja 1 - Área y fuentes'!C20</f>
        <v>Serie sintética de capacitación</v>
      </c>
      <c r="F242" s="15" t="str">
        <f>'Hoja 1 - Área y fuentes'!D20</f>
        <v>DID-001</v>
      </c>
      <c r="G242" s="12">
        <v>65.3</v>
      </c>
      <c r="H242" s="10" t="s">
        <v>56</v>
      </c>
      <c r="I242" s="10" t="s">
        <v>50</v>
      </c>
      <c r="J242" s="15" t="str">
        <f>'Hoja 1 - Área y fuentes'!M20</f>
        <v>Sustituir por IDEAM u otra fuente oficial</v>
      </c>
      <c r="K242" s="10" t="s">
        <v>165</v>
      </c>
      <c r="L242" s="15" t="str">
        <f>IF(G242="","FALTANTE",IF(G242&lt;0,"NEGATIVO",IF(H242&lt;&gt;"mm","UNIDAD",IF(COUNTIF($A$20:A242,A242)&gt;1,"DUPLICADO","OK"))))</f>
        <v>OK</v>
      </c>
    </row>
    <row r="243" spans="1:12" ht="22.8">
      <c r="A243" s="13">
        <v>36373</v>
      </c>
      <c r="B243" s="15">
        <v>1999</v>
      </c>
      <c r="C243" s="15">
        <v>8</v>
      </c>
      <c r="D243" s="15" t="s">
        <v>154</v>
      </c>
      <c r="E243" s="15" t="str">
        <f>'Hoja 1 - Área y fuentes'!C20</f>
        <v>Serie sintética de capacitación</v>
      </c>
      <c r="F243" s="15" t="str">
        <f>'Hoja 1 - Área y fuentes'!D20</f>
        <v>DID-001</v>
      </c>
      <c r="G243" s="12">
        <v>69.8</v>
      </c>
      <c r="H243" s="10" t="s">
        <v>56</v>
      </c>
      <c r="I243" s="10" t="s">
        <v>50</v>
      </c>
      <c r="J243" s="15" t="str">
        <f>'Hoja 1 - Área y fuentes'!M20</f>
        <v>Sustituir por IDEAM u otra fuente oficial</v>
      </c>
      <c r="K243" s="10" t="s">
        <v>165</v>
      </c>
      <c r="L243" s="15" t="str">
        <f>IF(G243="","FALTANTE",IF(G243&lt;0,"NEGATIVO",IF(H243&lt;&gt;"mm","UNIDAD",IF(COUNTIF($A$20:A243,A243)&gt;1,"DUPLICADO","OK"))))</f>
        <v>OK</v>
      </c>
    </row>
    <row r="244" spans="1:12" ht="22.8">
      <c r="A244" s="13">
        <v>36404</v>
      </c>
      <c r="B244" s="15">
        <v>1999</v>
      </c>
      <c r="C244" s="15">
        <v>9</v>
      </c>
      <c r="D244" s="15" t="s">
        <v>155</v>
      </c>
      <c r="E244" s="15" t="str">
        <f>'Hoja 1 - Área y fuentes'!C20</f>
        <v>Serie sintética de capacitación</v>
      </c>
      <c r="F244" s="15" t="str">
        <f>'Hoja 1 - Área y fuentes'!D20</f>
        <v>DID-001</v>
      </c>
      <c r="G244" s="12">
        <v>108.8</v>
      </c>
      <c r="H244" s="10" t="s">
        <v>56</v>
      </c>
      <c r="I244" s="10" t="s">
        <v>50</v>
      </c>
      <c r="J244" s="15" t="str">
        <f>'Hoja 1 - Área y fuentes'!M20</f>
        <v>Sustituir por IDEAM u otra fuente oficial</v>
      </c>
      <c r="K244" s="10" t="s">
        <v>165</v>
      </c>
      <c r="L244" s="15" t="str">
        <f>IF(G244="","FALTANTE",IF(G244&lt;0,"NEGATIVO",IF(H244&lt;&gt;"mm","UNIDAD",IF(COUNTIF($A$20:A244,A244)&gt;1,"DUPLICADO","OK"))))</f>
        <v>OK</v>
      </c>
    </row>
    <row r="245" spans="1:12" ht="22.8">
      <c r="A245" s="13">
        <v>36434</v>
      </c>
      <c r="B245" s="15">
        <v>1999</v>
      </c>
      <c r="C245" s="15">
        <v>10</v>
      </c>
      <c r="D245" s="15" t="s">
        <v>157</v>
      </c>
      <c r="E245" s="15" t="str">
        <f>'Hoja 1 - Área y fuentes'!C20</f>
        <v>Serie sintética de capacitación</v>
      </c>
      <c r="F245" s="15" t="str">
        <f>'Hoja 1 - Área y fuentes'!D20</f>
        <v>DID-001</v>
      </c>
      <c r="G245" s="12">
        <v>139.9</v>
      </c>
      <c r="H245" s="10" t="s">
        <v>56</v>
      </c>
      <c r="I245" s="10" t="s">
        <v>50</v>
      </c>
      <c r="J245" s="15" t="str">
        <f>'Hoja 1 - Área y fuentes'!M20</f>
        <v>Sustituir por IDEAM u otra fuente oficial</v>
      </c>
      <c r="K245" s="10" t="s">
        <v>165</v>
      </c>
      <c r="L245" s="15" t="str">
        <f>IF(G245="","FALTANTE",IF(G245&lt;0,"NEGATIVO",IF(H245&lt;&gt;"mm","UNIDAD",IF(COUNTIF($A$20:A245,A245)&gt;1,"DUPLICADO","OK"))))</f>
        <v>OK</v>
      </c>
    </row>
    <row r="246" spans="1:12" ht="22.8">
      <c r="A246" s="13">
        <v>36465</v>
      </c>
      <c r="B246" s="15">
        <v>1999</v>
      </c>
      <c r="C246" s="15">
        <v>11</v>
      </c>
      <c r="D246" s="15" t="s">
        <v>158</v>
      </c>
      <c r="E246" s="15" t="str">
        <f>'Hoja 1 - Área y fuentes'!C20</f>
        <v>Serie sintética de capacitación</v>
      </c>
      <c r="F246" s="15" t="str">
        <f>'Hoja 1 - Área y fuentes'!D20</f>
        <v>DID-001</v>
      </c>
      <c r="G246" s="12">
        <v>114.7</v>
      </c>
      <c r="H246" s="10" t="s">
        <v>56</v>
      </c>
      <c r="I246" s="10" t="s">
        <v>50</v>
      </c>
      <c r="J246" s="15" t="str">
        <f>'Hoja 1 - Área y fuentes'!M20</f>
        <v>Sustituir por IDEAM u otra fuente oficial</v>
      </c>
      <c r="K246" s="10" t="s">
        <v>165</v>
      </c>
      <c r="L246" s="15" t="str">
        <f>IF(G246="","FALTANTE",IF(G246&lt;0,"NEGATIVO",IF(H246&lt;&gt;"mm","UNIDAD",IF(COUNTIF($A$20:A246,A246)&gt;1,"DUPLICADO","OK"))))</f>
        <v>OK</v>
      </c>
    </row>
    <row r="247" spans="1:12" ht="22.8">
      <c r="A247" s="13">
        <v>36495</v>
      </c>
      <c r="B247" s="15">
        <v>1999</v>
      </c>
      <c r="C247" s="15">
        <v>12</v>
      </c>
      <c r="D247" s="15" t="s">
        <v>164</v>
      </c>
      <c r="E247" s="15" t="str">
        <f>'Hoja 1 - Área y fuentes'!C20</f>
        <v>Serie sintética de capacitación</v>
      </c>
      <c r="F247" s="15" t="str">
        <f>'Hoja 1 - Área y fuentes'!D20</f>
        <v>DID-001</v>
      </c>
      <c r="G247" s="12">
        <v>67.7</v>
      </c>
      <c r="H247" s="10" t="s">
        <v>56</v>
      </c>
      <c r="I247" s="10" t="s">
        <v>50</v>
      </c>
      <c r="J247" s="15" t="str">
        <f>'Hoja 1 - Área y fuentes'!M20</f>
        <v>Sustituir por IDEAM u otra fuente oficial</v>
      </c>
      <c r="K247" s="10" t="s">
        <v>165</v>
      </c>
      <c r="L247" s="15" t="str">
        <f>IF(G247="","FALTANTE",IF(G247&lt;0,"NEGATIVO",IF(H247&lt;&gt;"mm","UNIDAD",IF(COUNTIF($A$20:A247,A247)&gt;1,"DUPLICADO","OK"))))</f>
        <v>OK</v>
      </c>
    </row>
    <row r="248" spans="1:12" ht="22.8">
      <c r="A248" s="13">
        <v>36526</v>
      </c>
      <c r="B248" s="15">
        <v>2000</v>
      </c>
      <c r="C248" s="15">
        <v>1</v>
      </c>
      <c r="D248" s="15" t="s">
        <v>134</v>
      </c>
      <c r="E248" s="15" t="str">
        <f>'Hoja 1 - Área y fuentes'!C20</f>
        <v>Serie sintética de capacitación</v>
      </c>
      <c r="F248" s="15" t="str">
        <f>'Hoja 1 - Área y fuentes'!D20</f>
        <v>DID-001</v>
      </c>
      <c r="G248" s="12">
        <v>61.5</v>
      </c>
      <c r="H248" s="10" t="s">
        <v>56</v>
      </c>
      <c r="I248" s="10" t="s">
        <v>50</v>
      </c>
      <c r="J248" s="15" t="str">
        <f>'Hoja 1 - Área y fuentes'!M20</f>
        <v>Sustituir por IDEAM u otra fuente oficial</v>
      </c>
      <c r="K248" s="10" t="s">
        <v>165</v>
      </c>
      <c r="L248" s="15" t="str">
        <f>IF(G248="","FALTANTE",IF(G248&lt;0,"NEGATIVO",IF(H248&lt;&gt;"mm","UNIDAD",IF(COUNTIF($A$20:A248,A248)&gt;1,"DUPLICADO","OK"))))</f>
        <v>OK</v>
      </c>
    </row>
    <row r="249" spans="1:12" ht="22.8">
      <c r="A249" s="13">
        <v>36557</v>
      </c>
      <c r="B249" s="15">
        <v>2000</v>
      </c>
      <c r="C249" s="15">
        <v>2</v>
      </c>
      <c r="D249" s="15" t="s">
        <v>141</v>
      </c>
      <c r="E249" s="15" t="str">
        <f>'Hoja 1 - Área y fuentes'!C20</f>
        <v>Serie sintética de capacitación</v>
      </c>
      <c r="F249" s="15" t="str">
        <f>'Hoja 1 - Área y fuentes'!D20</f>
        <v>DID-001</v>
      </c>
      <c r="G249" s="12">
        <v>69.7</v>
      </c>
      <c r="H249" s="10" t="s">
        <v>56</v>
      </c>
      <c r="I249" s="10" t="s">
        <v>50</v>
      </c>
      <c r="J249" s="15" t="str">
        <f>'Hoja 1 - Área y fuentes'!M20</f>
        <v>Sustituir por IDEAM u otra fuente oficial</v>
      </c>
      <c r="K249" s="10" t="s">
        <v>165</v>
      </c>
      <c r="L249" s="15" t="str">
        <f>IF(G249="","FALTANTE",IF(G249&lt;0,"NEGATIVO",IF(H249&lt;&gt;"mm","UNIDAD",IF(COUNTIF($A$20:A249,A249)&gt;1,"DUPLICADO","OK"))))</f>
        <v>OK</v>
      </c>
    </row>
    <row r="250" spans="1:12" ht="22.8">
      <c r="A250" s="13">
        <v>36586</v>
      </c>
      <c r="B250" s="15">
        <v>2000</v>
      </c>
      <c r="C250" s="15">
        <v>3</v>
      </c>
      <c r="D250" s="15" t="s">
        <v>148</v>
      </c>
      <c r="E250" s="15" t="str">
        <f>'Hoja 1 - Área y fuentes'!C20</f>
        <v>Serie sintética de capacitación</v>
      </c>
      <c r="F250" s="15" t="str">
        <f>'Hoja 1 - Área y fuentes'!D20</f>
        <v>DID-001</v>
      </c>
      <c r="G250" s="12">
        <v>105.9</v>
      </c>
      <c r="H250" s="10" t="s">
        <v>56</v>
      </c>
      <c r="I250" s="10" t="s">
        <v>50</v>
      </c>
      <c r="J250" s="15" t="str">
        <f>'Hoja 1 - Área y fuentes'!M20</f>
        <v>Sustituir por IDEAM u otra fuente oficial</v>
      </c>
      <c r="K250" s="10" t="s">
        <v>165</v>
      </c>
      <c r="L250" s="15" t="str">
        <f>IF(G250="","FALTANTE",IF(G250&lt;0,"NEGATIVO",IF(H250&lt;&gt;"mm","UNIDAD",IF(COUNTIF($A$20:A250,A250)&gt;1,"DUPLICADO","OK"))))</f>
        <v>OK</v>
      </c>
    </row>
    <row r="251" spans="1:12" ht="22.8">
      <c r="A251" s="13">
        <v>36617</v>
      </c>
      <c r="B251" s="15">
        <v>2000</v>
      </c>
      <c r="C251" s="15">
        <v>4</v>
      </c>
      <c r="D251" s="15" t="s">
        <v>149</v>
      </c>
      <c r="E251" s="15" t="str">
        <f>'Hoja 1 - Área y fuentes'!C20</f>
        <v>Serie sintética de capacitación</v>
      </c>
      <c r="F251" s="15" t="str">
        <f>'Hoja 1 - Área y fuentes'!D20</f>
        <v>DID-001</v>
      </c>
      <c r="G251" s="12">
        <v>156.19999999999999</v>
      </c>
      <c r="H251" s="10" t="s">
        <v>56</v>
      </c>
      <c r="I251" s="10" t="s">
        <v>50</v>
      </c>
      <c r="J251" s="15" t="str">
        <f>'Hoja 1 - Área y fuentes'!M20</f>
        <v>Sustituir por IDEAM u otra fuente oficial</v>
      </c>
      <c r="K251" s="10" t="s">
        <v>165</v>
      </c>
      <c r="L251" s="15" t="str">
        <f>IF(G251="","FALTANTE",IF(G251&lt;0,"NEGATIVO",IF(H251&lt;&gt;"mm","UNIDAD",IF(COUNTIF($A$20:A251,A251)&gt;1,"DUPLICADO","OK"))))</f>
        <v>OK</v>
      </c>
    </row>
    <row r="252" spans="1:12" ht="22.8">
      <c r="A252" s="13">
        <v>36647</v>
      </c>
      <c r="B252" s="15">
        <v>2000</v>
      </c>
      <c r="C252" s="15">
        <v>5</v>
      </c>
      <c r="D252" s="15" t="s">
        <v>151</v>
      </c>
      <c r="E252" s="15" t="str">
        <f>'Hoja 1 - Área y fuentes'!C20</f>
        <v>Serie sintética de capacitación</v>
      </c>
      <c r="F252" s="15" t="str">
        <f>'Hoja 1 - Área y fuentes'!D20</f>
        <v>DID-001</v>
      </c>
      <c r="G252" s="12">
        <v>142.1</v>
      </c>
      <c r="H252" s="10" t="s">
        <v>56</v>
      </c>
      <c r="I252" s="10" t="s">
        <v>50</v>
      </c>
      <c r="J252" s="15" t="str">
        <f>'Hoja 1 - Área y fuentes'!M20</f>
        <v>Sustituir por IDEAM u otra fuente oficial</v>
      </c>
      <c r="K252" s="10" t="s">
        <v>165</v>
      </c>
      <c r="L252" s="15" t="str">
        <f>IF(G252="","FALTANTE",IF(G252&lt;0,"NEGATIVO",IF(H252&lt;&gt;"mm","UNIDAD",IF(COUNTIF($A$20:A252,A252)&gt;1,"DUPLICADO","OK"))))</f>
        <v>OK</v>
      </c>
    </row>
    <row r="253" spans="1:12" ht="22.8">
      <c r="A253" s="13">
        <v>36678</v>
      </c>
      <c r="B253" s="15">
        <v>2000</v>
      </c>
      <c r="C253" s="15">
        <v>6</v>
      </c>
      <c r="D253" s="15" t="s">
        <v>152</v>
      </c>
      <c r="E253" s="15" t="str">
        <f>'Hoja 1 - Área y fuentes'!C20</f>
        <v>Serie sintética de capacitación</v>
      </c>
      <c r="F253" s="15" t="str">
        <f>'Hoja 1 - Área y fuentes'!D20</f>
        <v>DID-001</v>
      </c>
      <c r="G253" s="12">
        <v>82.9</v>
      </c>
      <c r="H253" s="10" t="s">
        <v>56</v>
      </c>
      <c r="I253" s="10" t="s">
        <v>50</v>
      </c>
      <c r="J253" s="15" t="str">
        <f>'Hoja 1 - Área y fuentes'!M20</f>
        <v>Sustituir por IDEAM u otra fuente oficial</v>
      </c>
      <c r="K253" s="10" t="s">
        <v>165</v>
      </c>
      <c r="L253" s="15" t="str">
        <f>IF(G253="","FALTANTE",IF(G253&lt;0,"NEGATIVO",IF(H253&lt;&gt;"mm","UNIDAD",IF(COUNTIF($A$20:A253,A253)&gt;1,"DUPLICADO","OK"))))</f>
        <v>OK</v>
      </c>
    </row>
    <row r="254" spans="1:12" ht="22.8">
      <c r="A254" s="13">
        <v>36708</v>
      </c>
      <c r="B254" s="15">
        <v>2000</v>
      </c>
      <c r="C254" s="15">
        <v>7</v>
      </c>
      <c r="D254" s="15" t="s">
        <v>153</v>
      </c>
      <c r="E254" s="15" t="str">
        <f>'Hoja 1 - Área y fuentes'!C20</f>
        <v>Serie sintética de capacitación</v>
      </c>
      <c r="F254" s="15" t="str">
        <f>'Hoja 1 - Área y fuentes'!D20</f>
        <v>DID-001</v>
      </c>
      <c r="G254" s="12">
        <v>65.400000000000006</v>
      </c>
      <c r="H254" s="10" t="s">
        <v>56</v>
      </c>
      <c r="I254" s="10" t="s">
        <v>50</v>
      </c>
      <c r="J254" s="15" t="str">
        <f>'Hoja 1 - Área y fuentes'!M20</f>
        <v>Sustituir por IDEAM u otra fuente oficial</v>
      </c>
      <c r="K254" s="10" t="s">
        <v>165</v>
      </c>
      <c r="L254" s="15" t="str">
        <f>IF(G254="","FALTANTE",IF(G254&lt;0,"NEGATIVO",IF(H254&lt;&gt;"mm","UNIDAD",IF(COUNTIF($A$20:A254,A254)&gt;1,"DUPLICADO","OK"))))</f>
        <v>OK</v>
      </c>
    </row>
    <row r="255" spans="1:12" ht="22.8">
      <c r="A255" s="13">
        <v>36739</v>
      </c>
      <c r="B255" s="15">
        <v>2000</v>
      </c>
      <c r="C255" s="15">
        <v>8</v>
      </c>
      <c r="D255" s="15" t="s">
        <v>154</v>
      </c>
      <c r="E255" s="15" t="str">
        <f>'Hoja 1 - Área y fuentes'!C20</f>
        <v>Serie sintética de capacitación</v>
      </c>
      <c r="F255" s="15" t="str">
        <f>'Hoja 1 - Área y fuentes'!D20</f>
        <v>DID-001</v>
      </c>
      <c r="G255" s="12">
        <v>70.3</v>
      </c>
      <c r="H255" s="10" t="s">
        <v>56</v>
      </c>
      <c r="I255" s="10" t="s">
        <v>50</v>
      </c>
      <c r="J255" s="15" t="str">
        <f>'Hoja 1 - Área y fuentes'!M20</f>
        <v>Sustituir por IDEAM u otra fuente oficial</v>
      </c>
      <c r="K255" s="10" t="s">
        <v>165</v>
      </c>
      <c r="L255" s="15" t="str">
        <f>IF(G255="","FALTANTE",IF(G255&lt;0,"NEGATIVO",IF(H255&lt;&gt;"mm","UNIDAD",IF(COUNTIF($A$20:A255,A255)&gt;1,"DUPLICADO","OK"))))</f>
        <v>OK</v>
      </c>
    </row>
    <row r="256" spans="1:12" ht="22.8">
      <c r="A256" s="13">
        <v>36770</v>
      </c>
      <c r="B256" s="15">
        <v>2000</v>
      </c>
      <c r="C256" s="15">
        <v>9</v>
      </c>
      <c r="D256" s="15" t="s">
        <v>155</v>
      </c>
      <c r="E256" s="15" t="str">
        <f>'Hoja 1 - Área y fuentes'!C20</f>
        <v>Serie sintética de capacitación</v>
      </c>
      <c r="F256" s="15" t="str">
        <f>'Hoja 1 - Área y fuentes'!D20</f>
        <v>DID-001</v>
      </c>
      <c r="G256" s="12">
        <v>117.8</v>
      </c>
      <c r="H256" s="10" t="s">
        <v>56</v>
      </c>
      <c r="I256" s="10" t="s">
        <v>50</v>
      </c>
      <c r="J256" s="15" t="str">
        <f>'Hoja 1 - Área y fuentes'!M20</f>
        <v>Sustituir por IDEAM u otra fuente oficial</v>
      </c>
      <c r="K256" s="10" t="s">
        <v>165</v>
      </c>
      <c r="L256" s="15" t="str">
        <f>IF(G256="","FALTANTE",IF(G256&lt;0,"NEGATIVO",IF(H256&lt;&gt;"mm","UNIDAD",IF(COUNTIF($A$20:A256,A256)&gt;1,"DUPLICADO","OK"))))</f>
        <v>OK</v>
      </c>
    </row>
    <row r="257" spans="1:12" ht="22.8">
      <c r="A257" s="13">
        <v>36800</v>
      </c>
      <c r="B257" s="15">
        <v>2000</v>
      </c>
      <c r="C257" s="15">
        <v>10</v>
      </c>
      <c r="D257" s="15" t="s">
        <v>157</v>
      </c>
      <c r="E257" s="15" t="str">
        <f>'Hoja 1 - Área y fuentes'!C20</f>
        <v>Serie sintética de capacitación</v>
      </c>
      <c r="F257" s="15" t="str">
        <f>'Hoja 1 - Área y fuentes'!D20</f>
        <v>DID-001</v>
      </c>
      <c r="G257" s="12">
        <v>162.69999999999999</v>
      </c>
      <c r="H257" s="10" t="s">
        <v>56</v>
      </c>
      <c r="I257" s="10" t="s">
        <v>50</v>
      </c>
      <c r="J257" s="15" t="str">
        <f>'Hoja 1 - Área y fuentes'!M20</f>
        <v>Sustituir por IDEAM u otra fuente oficial</v>
      </c>
      <c r="K257" s="10" t="s">
        <v>165</v>
      </c>
      <c r="L257" s="15" t="str">
        <f>IF(G257="","FALTANTE",IF(G257&lt;0,"NEGATIVO",IF(H257&lt;&gt;"mm","UNIDAD",IF(COUNTIF($A$20:A257,A257)&gt;1,"DUPLICADO","OK"))))</f>
        <v>OK</v>
      </c>
    </row>
    <row r="258" spans="1:12" ht="22.8">
      <c r="A258" s="13">
        <v>36831</v>
      </c>
      <c r="B258" s="15">
        <v>2000</v>
      </c>
      <c r="C258" s="15">
        <v>11</v>
      </c>
      <c r="D258" s="15" t="s">
        <v>158</v>
      </c>
      <c r="E258" s="15" t="str">
        <f>'Hoja 1 - Área y fuentes'!C20</f>
        <v>Serie sintética de capacitación</v>
      </c>
      <c r="F258" s="15" t="str">
        <f>'Hoja 1 - Área y fuentes'!D20</f>
        <v>DID-001</v>
      </c>
      <c r="G258" s="12">
        <v>135.5</v>
      </c>
      <c r="H258" s="10" t="s">
        <v>56</v>
      </c>
      <c r="I258" s="10" t="s">
        <v>50</v>
      </c>
      <c r="J258" s="15" t="str">
        <f>'Hoja 1 - Área y fuentes'!M20</f>
        <v>Sustituir por IDEAM u otra fuente oficial</v>
      </c>
      <c r="K258" s="10" t="s">
        <v>165</v>
      </c>
      <c r="L258" s="15" t="str">
        <f>IF(G258="","FALTANTE",IF(G258&lt;0,"NEGATIVO",IF(H258&lt;&gt;"mm","UNIDAD",IF(COUNTIF($A$20:A258,A258)&gt;1,"DUPLICADO","OK"))))</f>
        <v>OK</v>
      </c>
    </row>
    <row r="259" spans="1:12" ht="22.8">
      <c r="A259" s="13">
        <v>36861</v>
      </c>
      <c r="B259" s="15">
        <v>2000</v>
      </c>
      <c r="C259" s="15">
        <v>12</v>
      </c>
      <c r="D259" s="15" t="s">
        <v>164</v>
      </c>
      <c r="E259" s="15" t="str">
        <f>'Hoja 1 - Área y fuentes'!C20</f>
        <v>Serie sintética de capacitación</v>
      </c>
      <c r="F259" s="15" t="str">
        <f>'Hoja 1 - Área y fuentes'!D20</f>
        <v>DID-001</v>
      </c>
      <c r="G259" s="12">
        <v>76.5</v>
      </c>
      <c r="H259" s="10" t="s">
        <v>56</v>
      </c>
      <c r="I259" s="10" t="s">
        <v>50</v>
      </c>
      <c r="J259" s="15" t="str">
        <f>'Hoja 1 - Área y fuentes'!M20</f>
        <v>Sustituir por IDEAM u otra fuente oficial</v>
      </c>
      <c r="K259" s="10" t="s">
        <v>165</v>
      </c>
      <c r="L259" s="15" t="str">
        <f>IF(G259="","FALTANTE",IF(G259&lt;0,"NEGATIVO",IF(H259&lt;&gt;"mm","UNIDAD",IF(COUNTIF($A$20:A259,A259)&gt;1,"DUPLICADO","OK"))))</f>
        <v>OK</v>
      </c>
    </row>
    <row r="260" spans="1:12" ht="22.8">
      <c r="A260" s="13">
        <v>36892</v>
      </c>
      <c r="B260" s="15">
        <v>2001</v>
      </c>
      <c r="C260" s="15">
        <v>1</v>
      </c>
      <c r="D260" s="15" t="s">
        <v>134</v>
      </c>
      <c r="E260" s="15" t="str">
        <f>'Hoja 1 - Área y fuentes'!C20</f>
        <v>Serie sintética de capacitación</v>
      </c>
      <c r="F260" s="15" t="str">
        <f>'Hoja 1 - Área y fuentes'!D20</f>
        <v>DID-001</v>
      </c>
      <c r="G260" s="12">
        <v>68.400000000000006</v>
      </c>
      <c r="H260" s="10" t="s">
        <v>56</v>
      </c>
      <c r="I260" s="10" t="s">
        <v>50</v>
      </c>
      <c r="J260" s="15" t="str">
        <f>'Hoja 1 - Área y fuentes'!M20</f>
        <v>Sustituir por IDEAM u otra fuente oficial</v>
      </c>
      <c r="K260" s="10" t="s">
        <v>165</v>
      </c>
      <c r="L260" s="15" t="str">
        <f>IF(G260="","FALTANTE",IF(G260&lt;0,"NEGATIVO",IF(H260&lt;&gt;"mm","UNIDAD",IF(COUNTIF($A$20:A260,A260)&gt;1,"DUPLICADO","OK"))))</f>
        <v>OK</v>
      </c>
    </row>
    <row r="261" spans="1:12" ht="22.8">
      <c r="A261" s="13">
        <v>36923</v>
      </c>
      <c r="B261" s="15">
        <v>2001</v>
      </c>
      <c r="C261" s="15">
        <v>2</v>
      </c>
      <c r="D261" s="15" t="s">
        <v>141</v>
      </c>
      <c r="E261" s="15" t="str">
        <f>'Hoja 1 - Área y fuentes'!C20</f>
        <v>Serie sintética de capacitación</v>
      </c>
      <c r="F261" s="15" t="str">
        <f>'Hoja 1 - Área y fuentes'!D20</f>
        <v>DID-001</v>
      </c>
      <c r="G261" s="12">
        <v>81.400000000000006</v>
      </c>
      <c r="H261" s="10" t="s">
        <v>56</v>
      </c>
      <c r="I261" s="10" t="s">
        <v>50</v>
      </c>
      <c r="J261" s="15" t="str">
        <f>'Hoja 1 - Área y fuentes'!M20</f>
        <v>Sustituir por IDEAM u otra fuente oficial</v>
      </c>
      <c r="K261" s="10" t="s">
        <v>165</v>
      </c>
      <c r="L261" s="15" t="str">
        <f>IF(G261="","FALTANTE",IF(G261&lt;0,"NEGATIVO",IF(H261&lt;&gt;"mm","UNIDAD",IF(COUNTIF($A$20:A261,A261)&gt;1,"DUPLICADO","OK"))))</f>
        <v>OK</v>
      </c>
    </row>
    <row r="262" spans="1:12" ht="22.8">
      <c r="A262" s="13">
        <v>36951</v>
      </c>
      <c r="B262" s="15">
        <v>2001</v>
      </c>
      <c r="C262" s="15">
        <v>3</v>
      </c>
      <c r="D262" s="15" t="s">
        <v>148</v>
      </c>
      <c r="E262" s="15" t="str">
        <f>'Hoja 1 - Área y fuentes'!C20</f>
        <v>Serie sintética de capacitación</v>
      </c>
      <c r="F262" s="15" t="str">
        <f>'Hoja 1 - Área y fuentes'!D20</f>
        <v>DID-001</v>
      </c>
      <c r="G262" s="12">
        <v>125.3</v>
      </c>
      <c r="H262" s="10" t="s">
        <v>56</v>
      </c>
      <c r="I262" s="10" t="s">
        <v>50</v>
      </c>
      <c r="J262" s="15" t="str">
        <f>'Hoja 1 - Área y fuentes'!M20</f>
        <v>Sustituir por IDEAM u otra fuente oficial</v>
      </c>
      <c r="K262" s="10" t="s">
        <v>165</v>
      </c>
      <c r="L262" s="15" t="str">
        <f>IF(G262="","FALTANTE",IF(G262&lt;0,"NEGATIVO",IF(H262&lt;&gt;"mm","UNIDAD",IF(COUNTIF($A$20:A262,A262)&gt;1,"DUPLICADO","OK"))))</f>
        <v>OK</v>
      </c>
    </row>
    <row r="263" spans="1:12" ht="22.8">
      <c r="A263" s="13">
        <v>36982</v>
      </c>
      <c r="B263" s="15">
        <v>2001</v>
      </c>
      <c r="C263" s="15">
        <v>4</v>
      </c>
      <c r="D263" s="15" t="s">
        <v>149</v>
      </c>
      <c r="E263" s="15" t="str">
        <f>'Hoja 1 - Área y fuentes'!C20</f>
        <v>Serie sintética de capacitación</v>
      </c>
      <c r="F263" s="15" t="str">
        <f>'Hoja 1 - Área y fuentes'!D20</f>
        <v>DID-001</v>
      </c>
      <c r="G263" s="12">
        <v>172.8</v>
      </c>
      <c r="H263" s="10" t="s">
        <v>56</v>
      </c>
      <c r="I263" s="10" t="s">
        <v>50</v>
      </c>
      <c r="J263" s="15" t="str">
        <f>'Hoja 1 - Área y fuentes'!M20</f>
        <v>Sustituir por IDEAM u otra fuente oficial</v>
      </c>
      <c r="K263" s="10" t="s">
        <v>165</v>
      </c>
      <c r="L263" s="15" t="str">
        <f>IF(G263="","FALTANTE",IF(G263&lt;0,"NEGATIVO",IF(H263&lt;&gt;"mm","UNIDAD",IF(COUNTIF($A$20:A263,A263)&gt;1,"DUPLICADO","OK"))))</f>
        <v>OK</v>
      </c>
    </row>
    <row r="264" spans="1:12" ht="22.8">
      <c r="A264" s="13">
        <v>37012</v>
      </c>
      <c r="B264" s="15">
        <v>2001</v>
      </c>
      <c r="C264" s="15">
        <v>5</v>
      </c>
      <c r="D264" s="15" t="s">
        <v>151</v>
      </c>
      <c r="E264" s="15" t="str">
        <f>'Hoja 1 - Área y fuentes'!C20</f>
        <v>Serie sintética de capacitación</v>
      </c>
      <c r="F264" s="15" t="str">
        <f>'Hoja 1 - Área y fuentes'!D20</f>
        <v>DID-001</v>
      </c>
      <c r="G264" s="12">
        <v>148</v>
      </c>
      <c r="H264" s="10" t="s">
        <v>56</v>
      </c>
      <c r="I264" s="10" t="s">
        <v>50</v>
      </c>
      <c r="J264" s="15" t="str">
        <f>'Hoja 1 - Área y fuentes'!M20</f>
        <v>Sustituir por IDEAM u otra fuente oficial</v>
      </c>
      <c r="K264" s="10" t="s">
        <v>165</v>
      </c>
      <c r="L264" s="15" t="str">
        <f>IF(G264="","FALTANTE",IF(G264&lt;0,"NEGATIVO",IF(H264&lt;&gt;"mm","UNIDAD",IF(COUNTIF($A$20:A264,A264)&gt;1,"DUPLICADO","OK"))))</f>
        <v>OK</v>
      </c>
    </row>
    <row r="265" spans="1:12" ht="22.8">
      <c r="A265" s="13">
        <v>37043</v>
      </c>
      <c r="B265" s="15">
        <v>2001</v>
      </c>
      <c r="C265" s="15">
        <v>6</v>
      </c>
      <c r="D265" s="15" t="s">
        <v>152</v>
      </c>
      <c r="E265" s="15" t="str">
        <f>'Hoja 1 - Área y fuentes'!C20</f>
        <v>Serie sintética de capacitación</v>
      </c>
      <c r="F265" s="15" t="str">
        <f>'Hoja 1 - Área y fuentes'!D20</f>
        <v>DID-001</v>
      </c>
      <c r="G265" s="12">
        <v>91.1</v>
      </c>
      <c r="H265" s="10" t="s">
        <v>56</v>
      </c>
      <c r="I265" s="10" t="s">
        <v>50</v>
      </c>
      <c r="J265" s="15" t="str">
        <f>'Hoja 1 - Área y fuentes'!M20</f>
        <v>Sustituir por IDEAM u otra fuente oficial</v>
      </c>
      <c r="K265" s="10" t="s">
        <v>165</v>
      </c>
      <c r="L265" s="15" t="str">
        <f>IF(G265="","FALTANTE",IF(G265&lt;0,"NEGATIVO",IF(H265&lt;&gt;"mm","UNIDAD",IF(COUNTIF($A$20:A265,A265)&gt;1,"DUPLICADO","OK"))))</f>
        <v>OK</v>
      </c>
    </row>
    <row r="266" spans="1:12" ht="22.8">
      <c r="A266" s="13">
        <v>37073</v>
      </c>
      <c r="B266" s="15">
        <v>2001</v>
      </c>
      <c r="C266" s="15">
        <v>7</v>
      </c>
      <c r="D266" s="15" t="s">
        <v>153</v>
      </c>
      <c r="E266" s="15" t="str">
        <f>'Hoja 1 - Área y fuentes'!C20</f>
        <v>Serie sintética de capacitación</v>
      </c>
      <c r="F266" s="15" t="str">
        <f>'Hoja 1 - Área y fuentes'!D20</f>
        <v>DID-001</v>
      </c>
      <c r="G266" s="12">
        <v>79.2</v>
      </c>
      <c r="H266" s="10" t="s">
        <v>56</v>
      </c>
      <c r="I266" s="10" t="s">
        <v>50</v>
      </c>
      <c r="J266" s="15" t="str">
        <f>'Hoja 1 - Área y fuentes'!M20</f>
        <v>Sustituir por IDEAM u otra fuente oficial</v>
      </c>
      <c r="K266" s="10" t="s">
        <v>165</v>
      </c>
      <c r="L266" s="15" t="str">
        <f>IF(G266="","FALTANTE",IF(G266&lt;0,"NEGATIVO",IF(H266&lt;&gt;"mm","UNIDAD",IF(COUNTIF($A$20:A266,A266)&gt;1,"DUPLICADO","OK"))))</f>
        <v>OK</v>
      </c>
    </row>
    <row r="267" spans="1:12" ht="22.8">
      <c r="A267" s="13">
        <v>37104</v>
      </c>
      <c r="B267" s="15">
        <v>2001</v>
      </c>
      <c r="C267" s="15">
        <v>8</v>
      </c>
      <c r="D267" s="15" t="s">
        <v>154</v>
      </c>
      <c r="E267" s="15" t="str">
        <f>'Hoja 1 - Área y fuentes'!C20</f>
        <v>Serie sintética de capacitación</v>
      </c>
      <c r="F267" s="15" t="str">
        <f>'Hoja 1 - Área y fuentes'!D20</f>
        <v>DID-001</v>
      </c>
      <c r="G267" s="12">
        <v>84.5</v>
      </c>
      <c r="H267" s="10" t="s">
        <v>56</v>
      </c>
      <c r="I267" s="10" t="s">
        <v>50</v>
      </c>
      <c r="J267" s="15" t="str">
        <f>'Hoja 1 - Área y fuentes'!M20</f>
        <v>Sustituir por IDEAM u otra fuente oficial</v>
      </c>
      <c r="K267" s="10" t="s">
        <v>165</v>
      </c>
      <c r="L267" s="15" t="str">
        <f>IF(G267="","FALTANTE",IF(G267&lt;0,"NEGATIVO",IF(H267&lt;&gt;"mm","UNIDAD",IF(COUNTIF($A$20:A267,A267)&gt;1,"DUPLICADO","OK"))))</f>
        <v>OK</v>
      </c>
    </row>
    <row r="268" spans="1:12" ht="22.8">
      <c r="A268" s="13">
        <v>37135</v>
      </c>
      <c r="B268" s="15">
        <v>2001</v>
      </c>
      <c r="C268" s="15">
        <v>9</v>
      </c>
      <c r="D268" s="15" t="s">
        <v>155</v>
      </c>
      <c r="E268" s="15" t="str">
        <f>'Hoja 1 - Área y fuentes'!C20</f>
        <v>Serie sintética de capacitación</v>
      </c>
      <c r="F268" s="15" t="str">
        <f>'Hoja 1 - Área y fuentes'!D20</f>
        <v>DID-001</v>
      </c>
      <c r="G268" s="12">
        <v>128</v>
      </c>
      <c r="H268" s="10" t="s">
        <v>56</v>
      </c>
      <c r="I268" s="10" t="s">
        <v>50</v>
      </c>
      <c r="J268" s="15" t="str">
        <f>'Hoja 1 - Área y fuentes'!M20</f>
        <v>Sustituir por IDEAM u otra fuente oficial</v>
      </c>
      <c r="K268" s="10" t="s">
        <v>165</v>
      </c>
      <c r="L268" s="15" t="str">
        <f>IF(G268="","FALTANTE",IF(G268&lt;0,"NEGATIVO",IF(H268&lt;&gt;"mm","UNIDAD",IF(COUNTIF($A$20:A268,A268)&gt;1,"DUPLICADO","OK"))))</f>
        <v>OK</v>
      </c>
    </row>
    <row r="269" spans="1:12" ht="22.8">
      <c r="A269" s="13">
        <v>37165</v>
      </c>
      <c r="B269" s="15">
        <v>2001</v>
      </c>
      <c r="C269" s="15">
        <v>10</v>
      </c>
      <c r="D269" s="15" t="s">
        <v>157</v>
      </c>
      <c r="E269" s="15" t="str">
        <f>'Hoja 1 - Área y fuentes'!C20</f>
        <v>Serie sintética de capacitación</v>
      </c>
      <c r="F269" s="15" t="str">
        <f>'Hoja 1 - Área y fuentes'!D20</f>
        <v>DID-001</v>
      </c>
      <c r="G269" s="12">
        <v>169.7</v>
      </c>
      <c r="H269" s="10" t="s">
        <v>56</v>
      </c>
      <c r="I269" s="10" t="s">
        <v>50</v>
      </c>
      <c r="J269" s="15" t="str">
        <f>'Hoja 1 - Área y fuentes'!M20</f>
        <v>Sustituir por IDEAM u otra fuente oficial</v>
      </c>
      <c r="K269" s="10" t="s">
        <v>165</v>
      </c>
      <c r="L269" s="15" t="str">
        <f>IF(G269="","FALTANTE",IF(G269&lt;0,"NEGATIVO",IF(H269&lt;&gt;"mm","UNIDAD",IF(COUNTIF($A$20:A269,A269)&gt;1,"DUPLICADO","OK"))))</f>
        <v>OK</v>
      </c>
    </row>
    <row r="270" spans="1:12" ht="22.8">
      <c r="A270" s="13">
        <v>37196</v>
      </c>
      <c r="B270" s="15">
        <v>2001</v>
      </c>
      <c r="C270" s="15">
        <v>11</v>
      </c>
      <c r="D270" s="15" t="s">
        <v>158</v>
      </c>
      <c r="E270" s="15" t="str">
        <f>'Hoja 1 - Área y fuentes'!C20</f>
        <v>Serie sintética de capacitación</v>
      </c>
      <c r="F270" s="15" t="str">
        <f>'Hoja 1 - Área y fuentes'!D20</f>
        <v>DID-001</v>
      </c>
      <c r="G270" s="12">
        <v>151.19999999999999</v>
      </c>
      <c r="H270" s="10" t="s">
        <v>56</v>
      </c>
      <c r="I270" s="10" t="s">
        <v>50</v>
      </c>
      <c r="J270" s="15" t="str">
        <f>'Hoja 1 - Área y fuentes'!M20</f>
        <v>Sustituir por IDEAM u otra fuente oficial</v>
      </c>
      <c r="K270" s="10" t="s">
        <v>165</v>
      </c>
      <c r="L270" s="15" t="str">
        <f>IF(G270="","FALTANTE",IF(G270&lt;0,"NEGATIVO",IF(H270&lt;&gt;"mm","UNIDAD",IF(COUNTIF($A$20:A270,A270)&gt;1,"DUPLICADO","OK"))))</f>
        <v>OK</v>
      </c>
    </row>
    <row r="271" spans="1:12" ht="22.8">
      <c r="A271" s="13">
        <v>37226</v>
      </c>
      <c r="B271" s="15">
        <v>2001</v>
      </c>
      <c r="C271" s="15">
        <v>12</v>
      </c>
      <c r="D271" s="15" t="s">
        <v>164</v>
      </c>
      <c r="E271" s="15" t="str">
        <f>'Hoja 1 - Área y fuentes'!C20</f>
        <v>Serie sintética de capacitación</v>
      </c>
      <c r="F271" s="15" t="str">
        <f>'Hoja 1 - Área y fuentes'!D20</f>
        <v>DID-001</v>
      </c>
      <c r="G271" s="12">
        <v>90.9</v>
      </c>
      <c r="H271" s="10" t="s">
        <v>56</v>
      </c>
      <c r="I271" s="10" t="s">
        <v>50</v>
      </c>
      <c r="J271" s="15" t="str">
        <f>'Hoja 1 - Área y fuentes'!M20</f>
        <v>Sustituir por IDEAM u otra fuente oficial</v>
      </c>
      <c r="K271" s="10" t="s">
        <v>165</v>
      </c>
      <c r="L271" s="15" t="str">
        <f>IF(G271="","FALTANTE",IF(G271&lt;0,"NEGATIVO",IF(H271&lt;&gt;"mm","UNIDAD",IF(COUNTIF($A$20:A271,A271)&gt;1,"DUPLICADO","OK"))))</f>
        <v>OK</v>
      </c>
    </row>
    <row r="272" spans="1:12" ht="22.8">
      <c r="A272" s="13">
        <v>37257</v>
      </c>
      <c r="B272" s="15">
        <v>2002</v>
      </c>
      <c r="C272" s="15">
        <v>1</v>
      </c>
      <c r="D272" s="15" t="s">
        <v>134</v>
      </c>
      <c r="E272" s="15" t="str">
        <f>'Hoja 1 - Área y fuentes'!C20</f>
        <v>Serie sintética de capacitación</v>
      </c>
      <c r="F272" s="15" t="str">
        <f>'Hoja 1 - Área y fuentes'!D20</f>
        <v>DID-001</v>
      </c>
      <c r="G272" s="12">
        <v>67.5</v>
      </c>
      <c r="H272" s="10" t="s">
        <v>56</v>
      </c>
      <c r="I272" s="10" t="s">
        <v>50</v>
      </c>
      <c r="J272" s="15" t="str">
        <f>'Hoja 1 - Área y fuentes'!M20</f>
        <v>Sustituir por IDEAM u otra fuente oficial</v>
      </c>
      <c r="K272" s="10" t="s">
        <v>165</v>
      </c>
      <c r="L272" s="15" t="str">
        <f>IF(G272="","FALTANTE",IF(G272&lt;0,"NEGATIVO",IF(H272&lt;&gt;"mm","UNIDAD",IF(COUNTIF($A$20:A272,A272)&gt;1,"DUPLICADO","OK"))))</f>
        <v>OK</v>
      </c>
    </row>
    <row r="273" spans="1:12" ht="22.8">
      <c r="A273" s="13">
        <v>37288</v>
      </c>
      <c r="B273" s="15">
        <v>2002</v>
      </c>
      <c r="C273" s="15">
        <v>2</v>
      </c>
      <c r="D273" s="15" t="s">
        <v>141</v>
      </c>
      <c r="E273" s="15" t="str">
        <f>'Hoja 1 - Área y fuentes'!C20</f>
        <v>Serie sintética de capacitación</v>
      </c>
      <c r="F273" s="15" t="str">
        <f>'Hoja 1 - Área y fuentes'!D20</f>
        <v>DID-001</v>
      </c>
      <c r="G273" s="12">
        <v>83.3</v>
      </c>
      <c r="H273" s="10" t="s">
        <v>56</v>
      </c>
      <c r="I273" s="10" t="s">
        <v>50</v>
      </c>
      <c r="J273" s="15" t="str">
        <f>'Hoja 1 - Área y fuentes'!M20</f>
        <v>Sustituir por IDEAM u otra fuente oficial</v>
      </c>
      <c r="K273" s="10" t="s">
        <v>165</v>
      </c>
      <c r="L273" s="15" t="str">
        <f>IF(G273="","FALTANTE",IF(G273&lt;0,"NEGATIVO",IF(H273&lt;&gt;"mm","UNIDAD",IF(COUNTIF($A$20:A273,A273)&gt;1,"DUPLICADO","OK"))))</f>
        <v>OK</v>
      </c>
    </row>
    <row r="274" spans="1:12" ht="22.8">
      <c r="A274" s="13">
        <v>37316</v>
      </c>
      <c r="B274" s="15">
        <v>2002</v>
      </c>
      <c r="C274" s="15">
        <v>3</v>
      </c>
      <c r="D274" s="15" t="s">
        <v>148</v>
      </c>
      <c r="E274" s="15" t="str">
        <f>'Hoja 1 - Área y fuentes'!C20</f>
        <v>Serie sintética de capacitación</v>
      </c>
      <c r="F274" s="15" t="str">
        <f>'Hoja 1 - Área y fuentes'!D20</f>
        <v>DID-001</v>
      </c>
      <c r="G274" s="12">
        <v>120.4</v>
      </c>
      <c r="H274" s="10" t="s">
        <v>56</v>
      </c>
      <c r="I274" s="10" t="s">
        <v>50</v>
      </c>
      <c r="J274" s="15" t="str">
        <f>'Hoja 1 - Área y fuentes'!M20</f>
        <v>Sustituir por IDEAM u otra fuente oficial</v>
      </c>
      <c r="K274" s="10" t="s">
        <v>165</v>
      </c>
      <c r="L274" s="15" t="str">
        <f>IF(G274="","FALTANTE",IF(G274&lt;0,"NEGATIVO",IF(H274&lt;&gt;"mm","UNIDAD",IF(COUNTIF($A$20:A274,A274)&gt;1,"DUPLICADO","OK"))))</f>
        <v>OK</v>
      </c>
    </row>
    <row r="275" spans="1:12" ht="22.8">
      <c r="A275" s="13">
        <v>37347</v>
      </c>
      <c r="B275" s="15">
        <v>2002</v>
      </c>
      <c r="C275" s="15">
        <v>4</v>
      </c>
      <c r="D275" s="15" t="s">
        <v>149</v>
      </c>
      <c r="E275" s="15" t="str">
        <f>'Hoja 1 - Área y fuentes'!C20</f>
        <v>Serie sintética de capacitación</v>
      </c>
      <c r="F275" s="15" t="str">
        <f>'Hoja 1 - Área y fuentes'!D20</f>
        <v>DID-001</v>
      </c>
      <c r="G275" s="12">
        <v>159.9</v>
      </c>
      <c r="H275" s="10" t="s">
        <v>56</v>
      </c>
      <c r="I275" s="10" t="s">
        <v>50</v>
      </c>
      <c r="J275" s="15" t="str">
        <f>'Hoja 1 - Área y fuentes'!M20</f>
        <v>Sustituir por IDEAM u otra fuente oficial</v>
      </c>
      <c r="K275" s="10" t="s">
        <v>165</v>
      </c>
      <c r="L275" s="15" t="str">
        <f>IF(G275="","FALTANTE",IF(G275&lt;0,"NEGATIVO",IF(H275&lt;&gt;"mm","UNIDAD",IF(COUNTIF($A$20:A275,A275)&gt;1,"DUPLICADO","OK"))))</f>
        <v>OK</v>
      </c>
    </row>
    <row r="276" spans="1:12" ht="22.8">
      <c r="A276" s="13">
        <v>37377</v>
      </c>
      <c r="B276" s="15">
        <v>2002</v>
      </c>
      <c r="C276" s="15">
        <v>5</v>
      </c>
      <c r="D276" s="15" t="s">
        <v>151</v>
      </c>
      <c r="E276" s="15" t="str">
        <f>'Hoja 1 - Área y fuentes'!C20</f>
        <v>Serie sintética de capacitación</v>
      </c>
      <c r="F276" s="15" t="str">
        <f>'Hoja 1 - Área y fuentes'!D20</f>
        <v>DID-001</v>
      </c>
      <c r="G276" s="12">
        <v>151.6</v>
      </c>
      <c r="H276" s="10" t="s">
        <v>56</v>
      </c>
      <c r="I276" s="10" t="s">
        <v>50</v>
      </c>
      <c r="J276" s="15" t="str">
        <f>'Hoja 1 - Área y fuentes'!M20</f>
        <v>Sustituir por IDEAM u otra fuente oficial</v>
      </c>
      <c r="K276" s="10" t="s">
        <v>165</v>
      </c>
      <c r="L276" s="15" t="str">
        <f>IF(G276="","FALTANTE",IF(G276&lt;0,"NEGATIVO",IF(H276&lt;&gt;"mm","UNIDAD",IF(COUNTIF($A$20:A276,A276)&gt;1,"DUPLICADO","OK"))))</f>
        <v>OK</v>
      </c>
    </row>
    <row r="277" spans="1:12" ht="22.8">
      <c r="A277" s="13">
        <v>37408</v>
      </c>
      <c r="B277" s="15">
        <v>2002</v>
      </c>
      <c r="C277" s="15">
        <v>6</v>
      </c>
      <c r="D277" s="15" t="s">
        <v>152</v>
      </c>
      <c r="E277" s="15" t="str">
        <f>'Hoja 1 - Área y fuentes'!C20</f>
        <v>Serie sintética de capacitación</v>
      </c>
      <c r="F277" s="15" t="str">
        <f>'Hoja 1 - Área y fuentes'!D20</f>
        <v>DID-001</v>
      </c>
      <c r="G277" s="12">
        <v>94.9</v>
      </c>
      <c r="H277" s="10" t="s">
        <v>56</v>
      </c>
      <c r="I277" s="10" t="s">
        <v>50</v>
      </c>
      <c r="J277" s="15" t="str">
        <f>'Hoja 1 - Área y fuentes'!M20</f>
        <v>Sustituir por IDEAM u otra fuente oficial</v>
      </c>
      <c r="K277" s="10" t="s">
        <v>165</v>
      </c>
      <c r="L277" s="15" t="str">
        <f>IF(G277="","FALTANTE",IF(G277&lt;0,"NEGATIVO",IF(H277&lt;&gt;"mm","UNIDAD",IF(COUNTIF($A$20:A277,A277)&gt;1,"DUPLICADO","OK"))))</f>
        <v>OK</v>
      </c>
    </row>
    <row r="278" spans="1:12" ht="22.8">
      <c r="A278" s="13">
        <v>37438</v>
      </c>
      <c r="B278" s="15">
        <v>2002</v>
      </c>
      <c r="C278" s="15">
        <v>7</v>
      </c>
      <c r="D278" s="15" t="s">
        <v>153</v>
      </c>
      <c r="E278" s="15" t="str">
        <f>'Hoja 1 - Área y fuentes'!C20</f>
        <v>Serie sintética de capacitación</v>
      </c>
      <c r="F278" s="15" t="str">
        <f>'Hoja 1 - Área y fuentes'!D20</f>
        <v>DID-001</v>
      </c>
      <c r="G278" s="12">
        <v>73.3</v>
      </c>
      <c r="H278" s="10" t="s">
        <v>56</v>
      </c>
      <c r="I278" s="10" t="s">
        <v>50</v>
      </c>
      <c r="J278" s="15" t="str">
        <f>'Hoja 1 - Área y fuentes'!M20</f>
        <v>Sustituir por IDEAM u otra fuente oficial</v>
      </c>
      <c r="K278" s="10" t="s">
        <v>165</v>
      </c>
      <c r="L278" s="15" t="str">
        <f>IF(G278="","FALTANTE",IF(G278&lt;0,"NEGATIVO",IF(H278&lt;&gt;"mm","UNIDAD",IF(COUNTIF($A$20:A278,A278)&gt;1,"DUPLICADO","OK"))))</f>
        <v>OK</v>
      </c>
    </row>
    <row r="279" spans="1:12" ht="22.8">
      <c r="A279" s="13">
        <v>37469</v>
      </c>
      <c r="B279" s="15">
        <v>2002</v>
      </c>
      <c r="C279" s="15">
        <v>8</v>
      </c>
      <c r="D279" s="15" t="s">
        <v>154</v>
      </c>
      <c r="E279" s="15" t="str">
        <f>'Hoja 1 - Área y fuentes'!C20</f>
        <v>Serie sintética de capacitación</v>
      </c>
      <c r="F279" s="15" t="str">
        <f>'Hoja 1 - Área y fuentes'!D20</f>
        <v>DID-001</v>
      </c>
      <c r="G279" s="12">
        <v>78.900000000000006</v>
      </c>
      <c r="H279" s="10" t="s">
        <v>56</v>
      </c>
      <c r="I279" s="10" t="s">
        <v>50</v>
      </c>
      <c r="J279" s="15" t="str">
        <f>'Hoja 1 - Área y fuentes'!M20</f>
        <v>Sustituir por IDEAM u otra fuente oficial</v>
      </c>
      <c r="K279" s="10" t="s">
        <v>165</v>
      </c>
      <c r="L279" s="15" t="str">
        <f>IF(G279="","FALTANTE",IF(G279&lt;0,"NEGATIVO",IF(H279&lt;&gt;"mm","UNIDAD",IF(COUNTIF($A$20:A279,A279)&gt;1,"DUPLICADO","OK"))))</f>
        <v>OK</v>
      </c>
    </row>
    <row r="280" spans="1:12" ht="22.8">
      <c r="A280" s="13">
        <v>37500</v>
      </c>
      <c r="B280" s="15">
        <v>2002</v>
      </c>
      <c r="C280" s="15">
        <v>9</v>
      </c>
      <c r="D280" s="15" t="s">
        <v>155</v>
      </c>
      <c r="E280" s="15" t="str">
        <f>'Hoja 1 - Área y fuentes'!C20</f>
        <v>Serie sintética de capacitación</v>
      </c>
      <c r="F280" s="15" t="str">
        <f>'Hoja 1 - Área y fuentes'!D20</f>
        <v>DID-001</v>
      </c>
      <c r="G280" s="12">
        <v>134.30000000000001</v>
      </c>
      <c r="H280" s="10" t="s">
        <v>56</v>
      </c>
      <c r="I280" s="10" t="s">
        <v>50</v>
      </c>
      <c r="J280" s="15" t="str">
        <f>'Hoja 1 - Área y fuentes'!M20</f>
        <v>Sustituir por IDEAM u otra fuente oficial</v>
      </c>
      <c r="K280" s="10" t="s">
        <v>165</v>
      </c>
      <c r="L280" s="15" t="str">
        <f>IF(G280="","FALTANTE",IF(G280&lt;0,"NEGATIVO",IF(H280&lt;&gt;"mm","UNIDAD",IF(COUNTIF($A$20:A280,A280)&gt;1,"DUPLICADO","OK"))))</f>
        <v>OK</v>
      </c>
    </row>
    <row r="281" spans="1:12" ht="22.8">
      <c r="A281" s="13">
        <v>37530</v>
      </c>
      <c r="B281" s="15">
        <v>2002</v>
      </c>
      <c r="C281" s="15">
        <v>10</v>
      </c>
      <c r="D281" s="15" t="s">
        <v>157</v>
      </c>
      <c r="E281" s="15" t="str">
        <f>'Hoja 1 - Área y fuentes'!C20</f>
        <v>Serie sintética de capacitación</v>
      </c>
      <c r="F281" s="15" t="str">
        <f>'Hoja 1 - Área y fuentes'!D20</f>
        <v>DID-001</v>
      </c>
      <c r="G281" s="12">
        <v>172.1</v>
      </c>
      <c r="H281" s="10" t="s">
        <v>56</v>
      </c>
      <c r="I281" s="10" t="s">
        <v>50</v>
      </c>
      <c r="J281" s="15" t="str">
        <f>'Hoja 1 - Área y fuentes'!M20</f>
        <v>Sustituir por IDEAM u otra fuente oficial</v>
      </c>
      <c r="K281" s="10" t="s">
        <v>165</v>
      </c>
      <c r="L281" s="15" t="str">
        <f>IF(G281="","FALTANTE",IF(G281&lt;0,"NEGATIVO",IF(H281&lt;&gt;"mm","UNIDAD",IF(COUNTIF($A$20:A281,A281)&gt;1,"DUPLICADO","OK"))))</f>
        <v>OK</v>
      </c>
    </row>
    <row r="282" spans="1:12" ht="22.8">
      <c r="A282" s="13">
        <v>37561</v>
      </c>
      <c r="B282" s="15">
        <v>2002</v>
      </c>
      <c r="C282" s="15">
        <v>11</v>
      </c>
      <c r="D282" s="15" t="s">
        <v>158</v>
      </c>
      <c r="E282" s="15" t="str">
        <f>'Hoja 1 - Área y fuentes'!C20</f>
        <v>Serie sintética de capacitación</v>
      </c>
      <c r="F282" s="15" t="str">
        <f>'Hoja 1 - Área y fuentes'!D20</f>
        <v>DID-001</v>
      </c>
      <c r="G282" s="12">
        <v>139.5</v>
      </c>
      <c r="H282" s="10" t="s">
        <v>56</v>
      </c>
      <c r="I282" s="10" t="s">
        <v>50</v>
      </c>
      <c r="J282" s="15" t="str">
        <f>'Hoja 1 - Área y fuentes'!M20</f>
        <v>Sustituir por IDEAM u otra fuente oficial</v>
      </c>
      <c r="K282" s="10" t="s">
        <v>165</v>
      </c>
      <c r="L282" s="15" t="str">
        <f>IF(G282="","FALTANTE",IF(G282&lt;0,"NEGATIVO",IF(H282&lt;&gt;"mm","UNIDAD",IF(COUNTIF($A$20:A282,A282)&gt;1,"DUPLICADO","OK"))))</f>
        <v>OK</v>
      </c>
    </row>
    <row r="283" spans="1:12" ht="22.8">
      <c r="A283" s="13">
        <v>37591</v>
      </c>
      <c r="B283" s="15">
        <v>2002</v>
      </c>
      <c r="C283" s="15">
        <v>12</v>
      </c>
      <c r="D283" s="15" t="s">
        <v>164</v>
      </c>
      <c r="E283" s="15" t="str">
        <f>'Hoja 1 - Área y fuentes'!C20</f>
        <v>Serie sintética de capacitación</v>
      </c>
      <c r="F283" s="15" t="str">
        <f>'Hoja 1 - Área y fuentes'!D20</f>
        <v>DID-001</v>
      </c>
      <c r="G283" s="12">
        <v>88.1</v>
      </c>
      <c r="H283" s="10" t="s">
        <v>56</v>
      </c>
      <c r="I283" s="10" t="s">
        <v>50</v>
      </c>
      <c r="J283" s="15" t="str">
        <f>'Hoja 1 - Área y fuentes'!M20</f>
        <v>Sustituir por IDEAM u otra fuente oficial</v>
      </c>
      <c r="K283" s="10" t="s">
        <v>165</v>
      </c>
      <c r="L283" s="15" t="str">
        <f>IF(G283="","FALTANTE",IF(G283&lt;0,"NEGATIVO",IF(H283&lt;&gt;"mm","UNIDAD",IF(COUNTIF($A$20:A283,A283)&gt;1,"DUPLICADO","OK"))))</f>
        <v>OK</v>
      </c>
    </row>
    <row r="284" spans="1:12" ht="22.8">
      <c r="A284" s="13">
        <v>37622</v>
      </c>
      <c r="B284" s="15">
        <v>2003</v>
      </c>
      <c r="C284" s="15">
        <v>1</v>
      </c>
      <c r="D284" s="15" t="s">
        <v>134</v>
      </c>
      <c r="E284" s="15" t="str">
        <f>'Hoja 1 - Área y fuentes'!C20</f>
        <v>Serie sintética de capacitación</v>
      </c>
      <c r="F284" s="15" t="str">
        <f>'Hoja 1 - Área y fuentes'!D20</f>
        <v>DID-001</v>
      </c>
      <c r="G284" s="12">
        <v>60.5</v>
      </c>
      <c r="H284" s="10" t="s">
        <v>56</v>
      </c>
      <c r="I284" s="10" t="s">
        <v>50</v>
      </c>
      <c r="J284" s="15" t="str">
        <f>'Hoja 1 - Área y fuentes'!M20</f>
        <v>Sustituir por IDEAM u otra fuente oficial</v>
      </c>
      <c r="K284" s="10" t="s">
        <v>165</v>
      </c>
      <c r="L284" s="15" t="str">
        <f>IF(G284="","FALTANTE",IF(G284&lt;0,"NEGATIVO",IF(H284&lt;&gt;"mm","UNIDAD",IF(COUNTIF($A$20:A284,A284)&gt;1,"DUPLICADO","OK"))))</f>
        <v>OK</v>
      </c>
    </row>
    <row r="285" spans="1:12" ht="22.8">
      <c r="A285" s="13">
        <v>37653</v>
      </c>
      <c r="B285" s="15">
        <v>2003</v>
      </c>
      <c r="C285" s="15">
        <v>2</v>
      </c>
      <c r="D285" s="15" t="s">
        <v>141</v>
      </c>
      <c r="E285" s="15" t="str">
        <f>'Hoja 1 - Área y fuentes'!C20</f>
        <v>Serie sintética de capacitación</v>
      </c>
      <c r="F285" s="15" t="str">
        <f>'Hoja 1 - Área y fuentes'!D20</f>
        <v>DID-001</v>
      </c>
      <c r="G285" s="12">
        <v>73.8</v>
      </c>
      <c r="H285" s="10" t="s">
        <v>56</v>
      </c>
      <c r="I285" s="10" t="s">
        <v>50</v>
      </c>
      <c r="J285" s="15" t="str">
        <f>'Hoja 1 - Área y fuentes'!M20</f>
        <v>Sustituir por IDEAM u otra fuente oficial</v>
      </c>
      <c r="K285" s="10" t="s">
        <v>165</v>
      </c>
      <c r="L285" s="15" t="str">
        <f>IF(G285="","FALTANTE",IF(G285&lt;0,"NEGATIVO",IF(H285&lt;&gt;"mm","UNIDAD",IF(COUNTIF($A$20:A285,A285)&gt;1,"DUPLICADO","OK"))))</f>
        <v>OK</v>
      </c>
    </row>
    <row r="286" spans="1:12" ht="22.8">
      <c r="A286" s="13">
        <v>37681</v>
      </c>
      <c r="B286" s="15">
        <v>2003</v>
      </c>
      <c r="C286" s="15">
        <v>3</v>
      </c>
      <c r="D286" s="15" t="s">
        <v>148</v>
      </c>
      <c r="E286" s="15" t="str">
        <f>'Hoja 1 - Área y fuentes'!C20</f>
        <v>Serie sintética de capacitación</v>
      </c>
      <c r="F286" s="15" t="str">
        <f>'Hoja 1 - Área y fuentes'!D20</f>
        <v>DID-001</v>
      </c>
      <c r="G286" s="12">
        <v>99.4</v>
      </c>
      <c r="H286" s="10" t="s">
        <v>56</v>
      </c>
      <c r="I286" s="10" t="s">
        <v>50</v>
      </c>
      <c r="J286" s="15" t="str">
        <f>'Hoja 1 - Área y fuentes'!M20</f>
        <v>Sustituir por IDEAM u otra fuente oficial</v>
      </c>
      <c r="K286" s="10" t="s">
        <v>165</v>
      </c>
      <c r="L286" s="15" t="str">
        <f>IF(G286="","FALTANTE",IF(G286&lt;0,"NEGATIVO",IF(H286&lt;&gt;"mm","UNIDAD",IF(COUNTIF($A$20:A286,A286)&gt;1,"DUPLICADO","OK"))))</f>
        <v>OK</v>
      </c>
    </row>
    <row r="287" spans="1:12" ht="22.8">
      <c r="A287" s="13">
        <v>37712</v>
      </c>
      <c r="B287" s="15">
        <v>2003</v>
      </c>
      <c r="C287" s="15">
        <v>4</v>
      </c>
      <c r="D287" s="15" t="s">
        <v>149</v>
      </c>
      <c r="E287" s="15" t="str">
        <f>'Hoja 1 - Área y fuentes'!C20</f>
        <v>Serie sintética de capacitación</v>
      </c>
      <c r="F287" s="15" t="str">
        <f>'Hoja 1 - Área y fuentes'!D20</f>
        <v>DID-001</v>
      </c>
      <c r="G287" s="12">
        <v>147.1</v>
      </c>
      <c r="H287" s="10" t="s">
        <v>56</v>
      </c>
      <c r="I287" s="10" t="s">
        <v>50</v>
      </c>
      <c r="J287" s="15" t="str">
        <f>'Hoja 1 - Área y fuentes'!M20</f>
        <v>Sustituir por IDEAM u otra fuente oficial</v>
      </c>
      <c r="K287" s="10" t="s">
        <v>165</v>
      </c>
      <c r="L287" s="15" t="str">
        <f>IF(G287="","FALTANTE",IF(G287&lt;0,"NEGATIVO",IF(H287&lt;&gt;"mm","UNIDAD",IF(COUNTIF($A$20:A287,A287)&gt;1,"DUPLICADO","OK"))))</f>
        <v>OK</v>
      </c>
    </row>
    <row r="288" spans="1:12" ht="22.8">
      <c r="A288" s="13">
        <v>37742</v>
      </c>
      <c r="B288" s="15">
        <v>2003</v>
      </c>
      <c r="C288" s="15">
        <v>5</v>
      </c>
      <c r="D288" s="15" t="s">
        <v>151</v>
      </c>
      <c r="E288" s="15" t="str">
        <f>'Hoja 1 - Área y fuentes'!C20</f>
        <v>Serie sintética de capacitación</v>
      </c>
      <c r="F288" s="15" t="str">
        <f>'Hoja 1 - Área y fuentes'!D20</f>
        <v>DID-001</v>
      </c>
      <c r="G288" s="12">
        <v>136.4</v>
      </c>
      <c r="H288" s="10" t="s">
        <v>56</v>
      </c>
      <c r="I288" s="10" t="s">
        <v>50</v>
      </c>
      <c r="J288" s="15" t="str">
        <f>'Hoja 1 - Área y fuentes'!M20</f>
        <v>Sustituir por IDEAM u otra fuente oficial</v>
      </c>
      <c r="K288" s="10" t="s">
        <v>165</v>
      </c>
      <c r="L288" s="15" t="str">
        <f>IF(G288="","FALTANTE",IF(G288&lt;0,"NEGATIVO",IF(H288&lt;&gt;"mm","UNIDAD",IF(COUNTIF($A$20:A288,A288)&gt;1,"DUPLICADO","OK"))))</f>
        <v>OK</v>
      </c>
    </row>
    <row r="289" spans="1:12" ht="22.8">
      <c r="A289" s="13">
        <v>37773</v>
      </c>
      <c r="B289" s="15">
        <v>2003</v>
      </c>
      <c r="C289" s="15">
        <v>6</v>
      </c>
      <c r="D289" s="15" t="s">
        <v>152</v>
      </c>
      <c r="E289" s="15" t="str">
        <f>'Hoja 1 - Área y fuentes'!C20</f>
        <v>Serie sintética de capacitación</v>
      </c>
      <c r="F289" s="15" t="str">
        <f>'Hoja 1 - Área y fuentes'!D20</f>
        <v>DID-001</v>
      </c>
      <c r="G289" s="12">
        <v>76.400000000000006</v>
      </c>
      <c r="H289" s="10" t="s">
        <v>56</v>
      </c>
      <c r="I289" s="10" t="s">
        <v>50</v>
      </c>
      <c r="J289" s="15" t="str">
        <f>'Hoja 1 - Área y fuentes'!M20</f>
        <v>Sustituir por IDEAM u otra fuente oficial</v>
      </c>
      <c r="K289" s="10" t="s">
        <v>165</v>
      </c>
      <c r="L289" s="15" t="str">
        <f>IF(G289="","FALTANTE",IF(G289&lt;0,"NEGATIVO",IF(H289&lt;&gt;"mm","UNIDAD",IF(COUNTIF($A$20:A289,A289)&gt;1,"DUPLICADO","OK"))))</f>
        <v>OK</v>
      </c>
    </row>
    <row r="290" spans="1:12" ht="22.8">
      <c r="A290" s="13">
        <v>37803</v>
      </c>
      <c r="B290" s="15">
        <v>2003</v>
      </c>
      <c r="C290" s="15">
        <v>7</v>
      </c>
      <c r="D290" s="15" t="s">
        <v>153</v>
      </c>
      <c r="E290" s="15" t="str">
        <f>'Hoja 1 - Área y fuentes'!C20</f>
        <v>Serie sintética de capacitación</v>
      </c>
      <c r="F290" s="15" t="str">
        <f>'Hoja 1 - Área y fuentes'!D20</f>
        <v>DID-001</v>
      </c>
      <c r="G290" s="12">
        <v>67.599999999999994</v>
      </c>
      <c r="H290" s="10" t="s">
        <v>56</v>
      </c>
      <c r="I290" s="10" t="s">
        <v>50</v>
      </c>
      <c r="J290" s="15" t="str">
        <f>'Hoja 1 - Área y fuentes'!M20</f>
        <v>Sustituir por IDEAM u otra fuente oficial</v>
      </c>
      <c r="K290" s="10" t="s">
        <v>165</v>
      </c>
      <c r="L290" s="15" t="str">
        <f>IF(G290="","FALTANTE",IF(G290&lt;0,"NEGATIVO",IF(H290&lt;&gt;"mm","UNIDAD",IF(COUNTIF($A$20:A290,A290)&gt;1,"DUPLICADO","OK"))))</f>
        <v>OK</v>
      </c>
    </row>
    <row r="291" spans="1:12" ht="22.8">
      <c r="A291" s="13">
        <v>37834</v>
      </c>
      <c r="B291" s="15">
        <v>2003</v>
      </c>
      <c r="C291" s="15">
        <v>8</v>
      </c>
      <c r="D291" s="15" t="s">
        <v>154</v>
      </c>
      <c r="E291" s="15" t="str">
        <f>'Hoja 1 - Área y fuentes'!C20</f>
        <v>Serie sintética de capacitación</v>
      </c>
      <c r="F291" s="15" t="str">
        <f>'Hoja 1 - Área y fuentes'!D20</f>
        <v>DID-001</v>
      </c>
      <c r="G291" s="12">
        <v>72</v>
      </c>
      <c r="H291" s="10" t="s">
        <v>56</v>
      </c>
      <c r="I291" s="10" t="s">
        <v>50</v>
      </c>
      <c r="J291" s="15" t="str">
        <f>'Hoja 1 - Área y fuentes'!M20</f>
        <v>Sustituir por IDEAM u otra fuente oficial</v>
      </c>
      <c r="K291" s="10" t="s">
        <v>165</v>
      </c>
      <c r="L291" s="15" t="str">
        <f>IF(G291="","FALTANTE",IF(G291&lt;0,"NEGATIVO",IF(H291&lt;&gt;"mm","UNIDAD",IF(COUNTIF($A$20:A291,A291)&gt;1,"DUPLICADO","OK"))))</f>
        <v>OK</v>
      </c>
    </row>
    <row r="292" spans="1:12" ht="22.8">
      <c r="A292" s="13">
        <v>37865</v>
      </c>
      <c r="B292" s="15">
        <v>2003</v>
      </c>
      <c r="C292" s="15">
        <v>9</v>
      </c>
      <c r="D292" s="15" t="s">
        <v>155</v>
      </c>
      <c r="E292" s="15" t="str">
        <f>'Hoja 1 - Área y fuentes'!C20</f>
        <v>Serie sintética de capacitación</v>
      </c>
      <c r="F292" s="15" t="str">
        <f>'Hoja 1 - Área y fuentes'!D20</f>
        <v>DID-001</v>
      </c>
      <c r="G292" s="12">
        <v>108</v>
      </c>
      <c r="H292" s="10" t="s">
        <v>56</v>
      </c>
      <c r="I292" s="10" t="s">
        <v>50</v>
      </c>
      <c r="J292" s="15" t="str">
        <f>'Hoja 1 - Área y fuentes'!M20</f>
        <v>Sustituir por IDEAM u otra fuente oficial</v>
      </c>
      <c r="K292" s="10" t="s">
        <v>165</v>
      </c>
      <c r="L292" s="15" t="str">
        <f>IF(G292="","FALTANTE",IF(G292&lt;0,"NEGATIVO",IF(H292&lt;&gt;"mm","UNIDAD",IF(COUNTIF($A$20:A292,A292)&gt;1,"DUPLICADO","OK"))))</f>
        <v>OK</v>
      </c>
    </row>
    <row r="293" spans="1:12" ht="22.8">
      <c r="A293" s="13">
        <v>37895</v>
      </c>
      <c r="B293" s="15">
        <v>2003</v>
      </c>
      <c r="C293" s="15">
        <v>10</v>
      </c>
      <c r="D293" s="15" t="s">
        <v>157</v>
      </c>
      <c r="E293" s="15" t="str">
        <f>'Hoja 1 - Área y fuentes'!C20</f>
        <v>Serie sintética de capacitación</v>
      </c>
      <c r="F293" s="15" t="str">
        <f>'Hoja 1 - Área y fuentes'!D20</f>
        <v>DID-001</v>
      </c>
      <c r="G293" s="12">
        <v>156.69999999999999</v>
      </c>
      <c r="H293" s="10" t="s">
        <v>56</v>
      </c>
      <c r="I293" s="10" t="s">
        <v>50</v>
      </c>
      <c r="J293" s="15" t="str">
        <f>'Hoja 1 - Área y fuentes'!M20</f>
        <v>Sustituir por IDEAM u otra fuente oficial</v>
      </c>
      <c r="K293" s="10" t="s">
        <v>165</v>
      </c>
      <c r="L293" s="15" t="str">
        <f>IF(G293="","FALTANTE",IF(G293&lt;0,"NEGATIVO",IF(H293&lt;&gt;"mm","UNIDAD",IF(COUNTIF($A$20:A293,A293)&gt;1,"DUPLICADO","OK"))))</f>
        <v>OK</v>
      </c>
    </row>
    <row r="294" spans="1:12" ht="22.8">
      <c r="A294" s="13">
        <v>37926</v>
      </c>
      <c r="B294" s="15">
        <v>2003</v>
      </c>
      <c r="C294" s="15">
        <v>11</v>
      </c>
      <c r="D294" s="15" t="s">
        <v>158</v>
      </c>
      <c r="E294" s="15" t="str">
        <f>'Hoja 1 - Área y fuentes'!C20</f>
        <v>Serie sintética de capacitación</v>
      </c>
      <c r="F294" s="15" t="str">
        <f>'Hoja 1 - Área y fuentes'!D20</f>
        <v>DID-001</v>
      </c>
      <c r="G294" s="12">
        <v>127.2</v>
      </c>
      <c r="H294" s="10" t="s">
        <v>56</v>
      </c>
      <c r="I294" s="10" t="s">
        <v>50</v>
      </c>
      <c r="J294" s="15" t="str">
        <f>'Hoja 1 - Área y fuentes'!M20</f>
        <v>Sustituir por IDEAM u otra fuente oficial</v>
      </c>
      <c r="K294" s="10" t="s">
        <v>165</v>
      </c>
      <c r="L294" s="15" t="str">
        <f>IF(G294="","FALTANTE",IF(G294&lt;0,"NEGATIVO",IF(H294&lt;&gt;"mm","UNIDAD",IF(COUNTIF($A$20:A294,A294)&gt;1,"DUPLICADO","OK"))))</f>
        <v>OK</v>
      </c>
    </row>
    <row r="295" spans="1:12" ht="22.8">
      <c r="A295" s="13">
        <v>37956</v>
      </c>
      <c r="B295" s="15">
        <v>2003</v>
      </c>
      <c r="C295" s="15">
        <v>12</v>
      </c>
      <c r="D295" s="15" t="s">
        <v>164</v>
      </c>
      <c r="E295" s="15" t="str">
        <f>'Hoja 1 - Área y fuentes'!C20</f>
        <v>Serie sintética de capacitación</v>
      </c>
      <c r="F295" s="15" t="str">
        <f>'Hoja 1 - Área y fuentes'!D20</f>
        <v>DID-001</v>
      </c>
      <c r="G295" s="12">
        <v>72.599999999999994</v>
      </c>
      <c r="H295" s="10" t="s">
        <v>56</v>
      </c>
      <c r="I295" s="10" t="s">
        <v>50</v>
      </c>
      <c r="J295" s="15" t="str">
        <f>'Hoja 1 - Área y fuentes'!M20</f>
        <v>Sustituir por IDEAM u otra fuente oficial</v>
      </c>
      <c r="K295" s="10" t="s">
        <v>165</v>
      </c>
      <c r="L295" s="15" t="str">
        <f>IF(G295="","FALTANTE",IF(G295&lt;0,"NEGATIVO",IF(H295&lt;&gt;"mm","UNIDAD",IF(COUNTIF($A$20:A295,A295)&gt;1,"DUPLICADO","OK"))))</f>
        <v>OK</v>
      </c>
    </row>
    <row r="296" spans="1:12" ht="22.8">
      <c r="A296" s="13">
        <v>37987</v>
      </c>
      <c r="B296" s="15">
        <v>2004</v>
      </c>
      <c r="C296" s="15">
        <v>1</v>
      </c>
      <c r="D296" s="15" t="s">
        <v>134</v>
      </c>
      <c r="E296" s="15" t="str">
        <f>'Hoja 1 - Área y fuentes'!C20</f>
        <v>Serie sintética de capacitación</v>
      </c>
      <c r="F296" s="15" t="str">
        <f>'Hoja 1 - Área y fuentes'!D20</f>
        <v>DID-001</v>
      </c>
      <c r="G296" s="12">
        <v>59.5</v>
      </c>
      <c r="H296" s="10" t="s">
        <v>56</v>
      </c>
      <c r="I296" s="10" t="s">
        <v>50</v>
      </c>
      <c r="J296" s="15" t="str">
        <f>'Hoja 1 - Área y fuentes'!M20</f>
        <v>Sustituir por IDEAM u otra fuente oficial</v>
      </c>
      <c r="K296" s="10" t="s">
        <v>165</v>
      </c>
      <c r="L296" s="15" t="str">
        <f>IF(G296="","FALTANTE",IF(G296&lt;0,"NEGATIVO",IF(H296&lt;&gt;"mm","UNIDAD",IF(COUNTIF($A$20:A296,A296)&gt;1,"DUPLICADO","OK"))))</f>
        <v>OK</v>
      </c>
    </row>
    <row r="297" spans="1:12" ht="22.8">
      <c r="A297" s="13">
        <v>38018</v>
      </c>
      <c r="B297" s="15">
        <v>2004</v>
      </c>
      <c r="C297" s="15">
        <v>2</v>
      </c>
      <c r="D297" s="15" t="s">
        <v>141</v>
      </c>
      <c r="E297" s="15" t="str">
        <f>'Hoja 1 - Área y fuentes'!C20</f>
        <v>Serie sintética de capacitación</v>
      </c>
      <c r="F297" s="15" t="str">
        <f>'Hoja 1 - Área y fuentes'!D20</f>
        <v>DID-001</v>
      </c>
      <c r="G297" s="12">
        <v>67.3</v>
      </c>
      <c r="H297" s="10" t="s">
        <v>56</v>
      </c>
      <c r="I297" s="10" t="s">
        <v>50</v>
      </c>
      <c r="J297" s="15" t="str">
        <f>'Hoja 1 - Área y fuentes'!M20</f>
        <v>Sustituir por IDEAM u otra fuente oficial</v>
      </c>
      <c r="K297" s="10" t="s">
        <v>165</v>
      </c>
      <c r="L297" s="15" t="str">
        <f>IF(G297="","FALTANTE",IF(G297&lt;0,"NEGATIVO",IF(H297&lt;&gt;"mm","UNIDAD",IF(COUNTIF($A$20:A297,A297)&gt;1,"DUPLICADO","OK"))))</f>
        <v>OK</v>
      </c>
    </row>
    <row r="298" spans="1:12" ht="22.8">
      <c r="A298" s="13">
        <v>38047</v>
      </c>
      <c r="B298" s="15">
        <v>2004</v>
      </c>
      <c r="C298" s="15">
        <v>3</v>
      </c>
      <c r="D298" s="15" t="s">
        <v>148</v>
      </c>
      <c r="E298" s="15" t="str">
        <f>'Hoja 1 - Área y fuentes'!C20</f>
        <v>Serie sintética de capacitación</v>
      </c>
      <c r="F298" s="15" t="str">
        <f>'Hoja 1 - Área y fuentes'!D20</f>
        <v>DID-001</v>
      </c>
      <c r="G298" s="12">
        <v>95.6</v>
      </c>
      <c r="H298" s="10" t="s">
        <v>56</v>
      </c>
      <c r="I298" s="10" t="s">
        <v>50</v>
      </c>
      <c r="J298" s="15" t="str">
        <f>'Hoja 1 - Área y fuentes'!M20</f>
        <v>Sustituir por IDEAM u otra fuente oficial</v>
      </c>
      <c r="K298" s="10" t="s">
        <v>165</v>
      </c>
      <c r="L298" s="15" t="str">
        <f>IF(G298="","FALTANTE",IF(G298&lt;0,"NEGATIVO",IF(H298&lt;&gt;"mm","UNIDAD",IF(COUNTIF($A$20:A298,A298)&gt;1,"DUPLICADO","OK"))))</f>
        <v>OK</v>
      </c>
    </row>
    <row r="299" spans="1:12" ht="22.8">
      <c r="A299" s="13">
        <v>38078</v>
      </c>
      <c r="B299" s="15">
        <v>2004</v>
      </c>
      <c r="C299" s="15">
        <v>4</v>
      </c>
      <c r="D299" s="15" t="s">
        <v>149</v>
      </c>
      <c r="E299" s="15" t="str">
        <f>'Hoja 1 - Área y fuentes'!C20</f>
        <v>Serie sintética de capacitación</v>
      </c>
      <c r="F299" s="15" t="str">
        <f>'Hoja 1 - Área y fuentes'!D20</f>
        <v>DID-001</v>
      </c>
      <c r="G299" s="12">
        <v>145</v>
      </c>
      <c r="H299" s="10" t="s">
        <v>56</v>
      </c>
      <c r="I299" s="10" t="s">
        <v>50</v>
      </c>
      <c r="J299" s="15" t="str">
        <f>'Hoja 1 - Área y fuentes'!M20</f>
        <v>Sustituir por IDEAM u otra fuente oficial</v>
      </c>
      <c r="K299" s="10" t="s">
        <v>165</v>
      </c>
      <c r="L299" s="15" t="str">
        <f>IF(G299="","FALTANTE",IF(G299&lt;0,"NEGATIVO",IF(H299&lt;&gt;"mm","UNIDAD",IF(COUNTIF($A$20:A299,A299)&gt;1,"DUPLICADO","OK"))))</f>
        <v>OK</v>
      </c>
    </row>
    <row r="300" spans="1:12" ht="22.8">
      <c r="A300" s="13">
        <v>38108</v>
      </c>
      <c r="B300" s="15">
        <v>2004</v>
      </c>
      <c r="C300" s="15">
        <v>5</v>
      </c>
      <c r="D300" s="15" t="s">
        <v>151</v>
      </c>
      <c r="E300" s="15" t="str">
        <f>'Hoja 1 - Área y fuentes'!C20</f>
        <v>Serie sintética de capacitación</v>
      </c>
      <c r="F300" s="15" t="str">
        <f>'Hoja 1 - Área y fuentes'!D20</f>
        <v>DID-001</v>
      </c>
      <c r="G300" s="12">
        <v>119</v>
      </c>
      <c r="H300" s="10" t="s">
        <v>56</v>
      </c>
      <c r="I300" s="10" t="s">
        <v>50</v>
      </c>
      <c r="J300" s="15" t="str">
        <f>'Hoja 1 - Área y fuentes'!M20</f>
        <v>Sustituir por IDEAM u otra fuente oficial</v>
      </c>
      <c r="K300" s="10" t="s">
        <v>165</v>
      </c>
      <c r="L300" s="15" t="str">
        <f>IF(G300="","FALTANTE",IF(G300&lt;0,"NEGATIVO",IF(H300&lt;&gt;"mm","UNIDAD",IF(COUNTIF($A$20:A300,A300)&gt;1,"DUPLICADO","OK"))))</f>
        <v>OK</v>
      </c>
    </row>
    <row r="301" spans="1:12" ht="22.8">
      <c r="A301" s="13">
        <v>38139</v>
      </c>
      <c r="B301" s="15">
        <v>2004</v>
      </c>
      <c r="C301" s="15">
        <v>6</v>
      </c>
      <c r="D301" s="15" t="s">
        <v>152</v>
      </c>
      <c r="E301" s="15" t="str">
        <f>'Hoja 1 - Área y fuentes'!C20</f>
        <v>Serie sintética de capacitación</v>
      </c>
      <c r="F301" s="15" t="str">
        <f>'Hoja 1 - Área y fuentes'!D20</f>
        <v>DID-001</v>
      </c>
      <c r="G301" s="12">
        <v>79</v>
      </c>
      <c r="H301" s="10" t="s">
        <v>56</v>
      </c>
      <c r="I301" s="10" t="s">
        <v>50</v>
      </c>
      <c r="J301" s="15" t="str">
        <f>'Hoja 1 - Área y fuentes'!M20</f>
        <v>Sustituir por IDEAM u otra fuente oficial</v>
      </c>
      <c r="K301" s="10" t="s">
        <v>165</v>
      </c>
      <c r="L301" s="15" t="str">
        <f>IF(G301="","FALTANTE",IF(G301&lt;0,"NEGATIVO",IF(H301&lt;&gt;"mm","UNIDAD",IF(COUNTIF($A$20:A301,A301)&gt;1,"DUPLICADO","OK"))))</f>
        <v>OK</v>
      </c>
    </row>
    <row r="302" spans="1:12" ht="22.8">
      <c r="A302" s="13">
        <v>38169</v>
      </c>
      <c r="B302" s="15">
        <v>2004</v>
      </c>
      <c r="C302" s="15">
        <v>7</v>
      </c>
      <c r="D302" s="15" t="s">
        <v>153</v>
      </c>
      <c r="E302" s="15" t="str">
        <f>'Hoja 1 - Área y fuentes'!C20</f>
        <v>Serie sintética de capacitación</v>
      </c>
      <c r="F302" s="15" t="str">
        <f>'Hoja 1 - Área y fuentes'!D20</f>
        <v>DID-001</v>
      </c>
      <c r="G302" s="12">
        <v>61.5</v>
      </c>
      <c r="H302" s="10" t="s">
        <v>56</v>
      </c>
      <c r="I302" s="10" t="s">
        <v>50</v>
      </c>
      <c r="J302" s="15" t="str">
        <f>'Hoja 1 - Área y fuentes'!M20</f>
        <v>Sustituir por IDEAM u otra fuente oficial</v>
      </c>
      <c r="K302" s="10" t="s">
        <v>165</v>
      </c>
      <c r="L302" s="15" t="str">
        <f>IF(G302="","FALTANTE",IF(G302&lt;0,"NEGATIVO",IF(H302&lt;&gt;"mm","UNIDAD",IF(COUNTIF($A$20:A302,A302)&gt;1,"DUPLICADO","OK"))))</f>
        <v>OK</v>
      </c>
    </row>
    <row r="303" spans="1:12" ht="22.8">
      <c r="A303" s="13">
        <v>38200</v>
      </c>
      <c r="B303" s="15">
        <v>2004</v>
      </c>
      <c r="C303" s="15">
        <v>8</v>
      </c>
      <c r="D303" s="15" t="s">
        <v>154</v>
      </c>
      <c r="E303" s="15" t="str">
        <f>'Hoja 1 - Área y fuentes'!C20</f>
        <v>Serie sintética de capacitación</v>
      </c>
      <c r="F303" s="15" t="str">
        <f>'Hoja 1 - Área y fuentes'!D20</f>
        <v>DID-001</v>
      </c>
      <c r="G303" s="12">
        <v>66.400000000000006</v>
      </c>
      <c r="H303" s="10" t="s">
        <v>56</v>
      </c>
      <c r="I303" s="10" t="s">
        <v>50</v>
      </c>
      <c r="J303" s="15" t="str">
        <f>'Hoja 1 - Área y fuentes'!M20</f>
        <v>Sustituir por IDEAM u otra fuente oficial</v>
      </c>
      <c r="K303" s="10" t="s">
        <v>165</v>
      </c>
      <c r="L303" s="15" t="str">
        <f>IF(G303="","FALTANTE",IF(G303&lt;0,"NEGATIVO",IF(H303&lt;&gt;"mm","UNIDAD",IF(COUNTIF($A$20:A303,A303)&gt;1,"DUPLICADO","OK"))))</f>
        <v>OK</v>
      </c>
    </row>
    <row r="304" spans="1:12" ht="22.8">
      <c r="A304" s="13">
        <v>38231</v>
      </c>
      <c r="B304" s="15">
        <v>2004</v>
      </c>
      <c r="C304" s="15">
        <v>9</v>
      </c>
      <c r="D304" s="15" t="s">
        <v>155</v>
      </c>
      <c r="E304" s="15" t="str">
        <f>'Hoja 1 - Área y fuentes'!C20</f>
        <v>Serie sintética de capacitación</v>
      </c>
      <c r="F304" s="15" t="str">
        <f>'Hoja 1 - Área y fuentes'!D20</f>
        <v>DID-001</v>
      </c>
      <c r="G304" s="12">
        <v>111</v>
      </c>
      <c r="H304" s="10" t="s">
        <v>56</v>
      </c>
      <c r="I304" s="10" t="s">
        <v>50</v>
      </c>
      <c r="J304" s="15" t="str">
        <f>'Hoja 1 - Área y fuentes'!M20</f>
        <v>Sustituir por IDEAM u otra fuente oficial</v>
      </c>
      <c r="K304" s="10" t="s">
        <v>165</v>
      </c>
      <c r="L304" s="15" t="str">
        <f>IF(G304="","FALTANTE",IF(G304&lt;0,"NEGATIVO",IF(H304&lt;&gt;"mm","UNIDAD",IF(COUNTIF($A$20:A304,A304)&gt;1,"DUPLICADO","OK"))))</f>
        <v>OK</v>
      </c>
    </row>
    <row r="305" spans="1:12" ht="22.8">
      <c r="A305" s="13">
        <v>38261</v>
      </c>
      <c r="B305" s="15">
        <v>2004</v>
      </c>
      <c r="C305" s="15">
        <v>10</v>
      </c>
      <c r="D305" s="15" t="s">
        <v>157</v>
      </c>
      <c r="E305" s="15" t="str">
        <f>'Hoja 1 - Área y fuentes'!C20</f>
        <v>Serie sintética de capacitación</v>
      </c>
      <c r="F305" s="15" t="str">
        <f>'Hoja 1 - Área y fuentes'!D20</f>
        <v>DID-001</v>
      </c>
      <c r="G305" s="12">
        <v>136.19999999999999</v>
      </c>
      <c r="H305" s="10" t="s">
        <v>56</v>
      </c>
      <c r="I305" s="10" t="s">
        <v>50</v>
      </c>
      <c r="J305" s="15" t="str">
        <f>'Hoja 1 - Área y fuentes'!M20</f>
        <v>Sustituir por IDEAM u otra fuente oficial</v>
      </c>
      <c r="K305" s="10" t="s">
        <v>165</v>
      </c>
      <c r="L305" s="15" t="str">
        <f>IF(G305="","FALTANTE",IF(G305&lt;0,"NEGATIVO",IF(H305&lt;&gt;"mm","UNIDAD",IF(COUNTIF($A$20:A305,A305)&gt;1,"DUPLICADO","OK"))))</f>
        <v>OK</v>
      </c>
    </row>
    <row r="306" spans="1:12" ht="22.8">
      <c r="A306" s="13">
        <v>38292</v>
      </c>
      <c r="B306" s="15">
        <v>2004</v>
      </c>
      <c r="C306" s="15">
        <v>11</v>
      </c>
      <c r="D306" s="15" t="s">
        <v>158</v>
      </c>
      <c r="E306" s="15" t="str">
        <f>'Hoja 1 - Área y fuentes'!C20</f>
        <v>Serie sintética de capacitación</v>
      </c>
      <c r="F306" s="15" t="str">
        <f>'Hoja 1 - Área y fuentes'!D20</f>
        <v>DID-001</v>
      </c>
      <c r="G306" s="12">
        <v>126.6</v>
      </c>
      <c r="H306" s="10" t="s">
        <v>56</v>
      </c>
      <c r="I306" s="10" t="s">
        <v>50</v>
      </c>
      <c r="J306" s="15" t="str">
        <f>'Hoja 1 - Área y fuentes'!M20</f>
        <v>Sustituir por IDEAM u otra fuente oficial</v>
      </c>
      <c r="K306" s="10" t="s">
        <v>165</v>
      </c>
      <c r="L306" s="15" t="str">
        <f>IF(G306="","FALTANTE",IF(G306&lt;0,"NEGATIVO",IF(H306&lt;&gt;"mm","UNIDAD",IF(COUNTIF($A$20:A306,A306)&gt;1,"DUPLICADO","OK"))))</f>
        <v>OK</v>
      </c>
    </row>
    <row r="307" spans="1:12" ht="22.8">
      <c r="A307" s="13">
        <v>38322</v>
      </c>
      <c r="B307" s="15">
        <v>2004</v>
      </c>
      <c r="C307" s="15">
        <v>12</v>
      </c>
      <c r="D307" s="15" t="s">
        <v>164</v>
      </c>
      <c r="E307" s="15" t="str">
        <f>'Hoja 1 - Área y fuentes'!C20</f>
        <v>Serie sintética de capacitación</v>
      </c>
      <c r="F307" s="15" t="str">
        <f>'Hoja 1 - Área y fuentes'!D20</f>
        <v>DID-001</v>
      </c>
      <c r="G307" s="12">
        <v>69</v>
      </c>
      <c r="H307" s="10" t="s">
        <v>56</v>
      </c>
      <c r="I307" s="10" t="s">
        <v>50</v>
      </c>
      <c r="J307" s="15" t="str">
        <f>'Hoja 1 - Área y fuentes'!M20</f>
        <v>Sustituir por IDEAM u otra fuente oficial</v>
      </c>
      <c r="K307" s="10" t="s">
        <v>165</v>
      </c>
      <c r="L307" s="15" t="str">
        <f>IF(G307="","FALTANTE",IF(G307&lt;0,"NEGATIVO",IF(H307&lt;&gt;"mm","UNIDAD",IF(COUNTIF($A$20:A307,A307)&gt;1,"DUPLICADO","OK"))))</f>
        <v>OK</v>
      </c>
    </row>
    <row r="308" spans="1:12" ht="22.8">
      <c r="A308" s="13">
        <v>38353</v>
      </c>
      <c r="B308" s="15">
        <v>2005</v>
      </c>
      <c r="C308" s="15">
        <v>1</v>
      </c>
      <c r="D308" s="15" t="s">
        <v>134</v>
      </c>
      <c r="E308" s="15" t="str">
        <f>'Hoja 1 - Área y fuentes'!C20</f>
        <v>Serie sintética de capacitación</v>
      </c>
      <c r="F308" s="15" t="str">
        <f>'Hoja 1 - Área y fuentes'!D20</f>
        <v>DID-001</v>
      </c>
      <c r="G308" s="12">
        <v>67.900000000000006</v>
      </c>
      <c r="H308" s="10" t="s">
        <v>56</v>
      </c>
      <c r="I308" s="10" t="s">
        <v>50</v>
      </c>
      <c r="J308" s="15" t="str">
        <f>'Hoja 1 - Área y fuentes'!M20</f>
        <v>Sustituir por IDEAM u otra fuente oficial</v>
      </c>
      <c r="K308" s="10" t="s">
        <v>165</v>
      </c>
      <c r="L308" s="15" t="str">
        <f>IF(G308="","FALTANTE",IF(G308&lt;0,"NEGATIVO",IF(H308&lt;&gt;"mm","UNIDAD",IF(COUNTIF($A$20:A308,A308)&gt;1,"DUPLICADO","OK"))))</f>
        <v>OK</v>
      </c>
    </row>
    <row r="309" spans="1:12" ht="22.8">
      <c r="A309" s="13">
        <v>38384</v>
      </c>
      <c r="B309" s="15">
        <v>2005</v>
      </c>
      <c r="C309" s="15">
        <v>2</v>
      </c>
      <c r="D309" s="15" t="s">
        <v>141</v>
      </c>
      <c r="E309" s="15" t="str">
        <f>'Hoja 1 - Área y fuentes'!C20</f>
        <v>Serie sintética de capacitación</v>
      </c>
      <c r="F309" s="15" t="str">
        <f>'Hoja 1 - Área y fuentes'!D20</f>
        <v>DID-001</v>
      </c>
      <c r="G309" s="12">
        <v>72.3</v>
      </c>
      <c r="H309" s="10" t="s">
        <v>56</v>
      </c>
      <c r="I309" s="10" t="s">
        <v>50</v>
      </c>
      <c r="J309" s="15" t="str">
        <f>'Hoja 1 - Área y fuentes'!M20</f>
        <v>Sustituir por IDEAM u otra fuente oficial</v>
      </c>
      <c r="K309" s="10" t="s">
        <v>165</v>
      </c>
      <c r="L309" s="15" t="str">
        <f>IF(G309="","FALTANTE",IF(G309&lt;0,"NEGATIVO",IF(H309&lt;&gt;"mm","UNIDAD",IF(COUNTIF($A$20:A309,A309)&gt;1,"DUPLICADO","OK"))))</f>
        <v>OK</v>
      </c>
    </row>
    <row r="310" spans="1:12" ht="22.8">
      <c r="A310" s="13">
        <v>38412</v>
      </c>
      <c r="B310" s="15">
        <v>2005</v>
      </c>
      <c r="C310" s="15">
        <v>3</v>
      </c>
      <c r="D310" s="15" t="s">
        <v>148</v>
      </c>
      <c r="E310" s="15" t="str">
        <f>'Hoja 1 - Área y fuentes'!C20</f>
        <v>Serie sintética de capacitación</v>
      </c>
      <c r="F310" s="15" t="str">
        <f>'Hoja 1 - Área y fuentes'!D20</f>
        <v>DID-001</v>
      </c>
      <c r="G310" s="12">
        <v>114.1</v>
      </c>
      <c r="H310" s="10" t="s">
        <v>56</v>
      </c>
      <c r="I310" s="10" t="s">
        <v>50</v>
      </c>
      <c r="J310" s="15" t="str">
        <f>'Hoja 1 - Área y fuentes'!M20</f>
        <v>Sustituir por IDEAM u otra fuente oficial</v>
      </c>
      <c r="K310" s="10" t="s">
        <v>165</v>
      </c>
      <c r="L310" s="15" t="str">
        <f>IF(G310="","FALTANTE",IF(G310&lt;0,"NEGATIVO",IF(H310&lt;&gt;"mm","UNIDAD",IF(COUNTIF($A$20:A310,A310)&gt;1,"DUPLICADO","OK"))))</f>
        <v>OK</v>
      </c>
    </row>
    <row r="311" spans="1:12" ht="22.8">
      <c r="A311" s="13">
        <v>38443</v>
      </c>
      <c r="B311" s="15">
        <v>2005</v>
      </c>
      <c r="C311" s="15">
        <v>4</v>
      </c>
      <c r="D311" s="15" t="s">
        <v>149</v>
      </c>
      <c r="E311" s="15" t="str">
        <f>'Hoja 1 - Área y fuentes'!C20</f>
        <v>Serie sintética de capacitación</v>
      </c>
      <c r="F311" s="15" t="str">
        <f>'Hoja 1 - Área y fuentes'!D20</f>
        <v>DID-001</v>
      </c>
      <c r="G311" s="12">
        <v>150.9</v>
      </c>
      <c r="H311" s="10" t="s">
        <v>56</v>
      </c>
      <c r="I311" s="10" t="s">
        <v>50</v>
      </c>
      <c r="J311" s="15" t="str">
        <f>'Hoja 1 - Área y fuentes'!M20</f>
        <v>Sustituir por IDEAM u otra fuente oficial</v>
      </c>
      <c r="K311" s="10" t="s">
        <v>165</v>
      </c>
      <c r="L311" s="15" t="str">
        <f>IF(G311="","FALTANTE",IF(G311&lt;0,"NEGATIVO",IF(H311&lt;&gt;"mm","UNIDAD",IF(COUNTIF($A$20:A311,A311)&gt;1,"DUPLICADO","OK"))))</f>
        <v>OK</v>
      </c>
    </row>
    <row r="312" spans="1:12" ht="22.8">
      <c r="A312" s="13">
        <v>38473</v>
      </c>
      <c r="B312" s="15">
        <v>2005</v>
      </c>
      <c r="C312" s="15">
        <v>5</v>
      </c>
      <c r="D312" s="15" t="s">
        <v>151</v>
      </c>
      <c r="E312" s="15" t="str">
        <f>'Hoja 1 - Área y fuentes'!C20</f>
        <v>Serie sintética de capacitación</v>
      </c>
      <c r="F312" s="15" t="str">
        <f>'Hoja 1 - Área y fuentes'!D20</f>
        <v>DID-001</v>
      </c>
      <c r="G312" s="12">
        <v>143.5</v>
      </c>
      <c r="H312" s="10" t="s">
        <v>56</v>
      </c>
      <c r="I312" s="10" t="s">
        <v>50</v>
      </c>
      <c r="J312" s="15" t="str">
        <f>'Hoja 1 - Área y fuentes'!M20</f>
        <v>Sustituir por IDEAM u otra fuente oficial</v>
      </c>
      <c r="K312" s="10" t="s">
        <v>165</v>
      </c>
      <c r="L312" s="15" t="str">
        <f>IF(G312="","FALTANTE",IF(G312&lt;0,"NEGATIVO",IF(H312&lt;&gt;"mm","UNIDAD",IF(COUNTIF($A$20:A312,A312)&gt;1,"DUPLICADO","OK"))))</f>
        <v>OK</v>
      </c>
    </row>
    <row r="313" spans="1:12" ht="22.8">
      <c r="A313" s="13">
        <v>38504</v>
      </c>
      <c r="B313" s="15">
        <v>2005</v>
      </c>
      <c r="C313" s="15">
        <v>6</v>
      </c>
      <c r="D313" s="15" t="s">
        <v>152</v>
      </c>
      <c r="E313" s="15" t="str">
        <f>'Hoja 1 - Área y fuentes'!C20</f>
        <v>Serie sintética de capacitación</v>
      </c>
      <c r="F313" s="15" t="str">
        <f>'Hoja 1 - Área y fuentes'!D20</f>
        <v>DID-001</v>
      </c>
      <c r="G313" s="12">
        <v>83.9</v>
      </c>
      <c r="H313" s="10" t="s">
        <v>56</v>
      </c>
      <c r="I313" s="10" t="s">
        <v>50</v>
      </c>
      <c r="J313" s="15" t="str">
        <f>'Hoja 1 - Área y fuentes'!M20</f>
        <v>Sustituir por IDEAM u otra fuente oficial</v>
      </c>
      <c r="K313" s="10" t="s">
        <v>165</v>
      </c>
      <c r="L313" s="15" t="str">
        <f>IF(G313="","FALTANTE",IF(G313&lt;0,"NEGATIVO",IF(H313&lt;&gt;"mm","UNIDAD",IF(COUNTIF($A$20:A313,A313)&gt;1,"DUPLICADO","OK"))))</f>
        <v>OK</v>
      </c>
    </row>
    <row r="314" spans="1:12" ht="22.8">
      <c r="A314" s="13">
        <v>38534</v>
      </c>
      <c r="B314" s="15">
        <v>2005</v>
      </c>
      <c r="C314" s="15">
        <v>7</v>
      </c>
      <c r="D314" s="15" t="s">
        <v>153</v>
      </c>
      <c r="E314" s="15" t="str">
        <f>'Hoja 1 - Área y fuentes'!C20</f>
        <v>Serie sintética de capacitación</v>
      </c>
      <c r="F314" s="15" t="str">
        <f>'Hoja 1 - Área y fuentes'!D20</f>
        <v>DID-001</v>
      </c>
      <c r="G314" s="12">
        <v>70.7</v>
      </c>
      <c r="H314" s="10" t="s">
        <v>56</v>
      </c>
      <c r="I314" s="10" t="s">
        <v>50</v>
      </c>
      <c r="J314" s="15" t="str">
        <f>'Hoja 1 - Área y fuentes'!M20</f>
        <v>Sustituir por IDEAM u otra fuente oficial</v>
      </c>
      <c r="K314" s="10" t="s">
        <v>165</v>
      </c>
      <c r="L314" s="15" t="str">
        <f>IF(G314="","FALTANTE",IF(G314&lt;0,"NEGATIVO",IF(H314&lt;&gt;"mm","UNIDAD",IF(COUNTIF($A$20:A314,A314)&gt;1,"DUPLICADO","OK"))))</f>
        <v>OK</v>
      </c>
    </row>
    <row r="315" spans="1:12" ht="22.8">
      <c r="A315" s="13">
        <v>38565</v>
      </c>
      <c r="B315" s="15">
        <v>2005</v>
      </c>
      <c r="C315" s="15">
        <v>8</v>
      </c>
      <c r="D315" s="15" t="s">
        <v>154</v>
      </c>
      <c r="E315" s="15" t="str">
        <f>'Hoja 1 - Área y fuentes'!C20</f>
        <v>Serie sintética de capacitación</v>
      </c>
      <c r="F315" s="15" t="str">
        <f>'Hoja 1 - Área y fuentes'!D20</f>
        <v>DID-001</v>
      </c>
      <c r="G315" s="12">
        <v>75.2</v>
      </c>
      <c r="H315" s="10" t="s">
        <v>56</v>
      </c>
      <c r="I315" s="10" t="s">
        <v>50</v>
      </c>
      <c r="J315" s="15" t="str">
        <f>'Hoja 1 - Área y fuentes'!M20</f>
        <v>Sustituir por IDEAM u otra fuente oficial</v>
      </c>
      <c r="K315" s="10" t="s">
        <v>165</v>
      </c>
      <c r="L315" s="15" t="str">
        <f>IF(G315="","FALTANTE",IF(G315&lt;0,"NEGATIVO",IF(H315&lt;&gt;"mm","UNIDAD",IF(COUNTIF($A$20:A315,A315)&gt;1,"DUPLICADO","OK"))))</f>
        <v>OK</v>
      </c>
    </row>
    <row r="316" spans="1:12" ht="22.8">
      <c r="A316" s="13">
        <v>38596</v>
      </c>
      <c r="B316" s="15">
        <v>2005</v>
      </c>
      <c r="C316" s="15">
        <v>9</v>
      </c>
      <c r="D316" s="15" t="s">
        <v>155</v>
      </c>
      <c r="E316" s="15" t="str">
        <f>'Hoja 1 - Área y fuentes'!C20</f>
        <v>Serie sintética de capacitación</v>
      </c>
      <c r="F316" s="15" t="str">
        <f>'Hoja 1 - Área y fuentes'!D20</f>
        <v>DID-001</v>
      </c>
      <c r="G316" s="12">
        <v>119.4</v>
      </c>
      <c r="H316" s="10" t="s">
        <v>56</v>
      </c>
      <c r="I316" s="10" t="s">
        <v>50</v>
      </c>
      <c r="J316" s="15" t="str">
        <f>'Hoja 1 - Área y fuentes'!M20</f>
        <v>Sustituir por IDEAM u otra fuente oficial</v>
      </c>
      <c r="K316" s="10" t="s">
        <v>165</v>
      </c>
      <c r="L316" s="15" t="str">
        <f>IF(G316="","FALTANTE",IF(G316&lt;0,"NEGATIVO",IF(H316&lt;&gt;"mm","UNIDAD",IF(COUNTIF($A$20:A316,A316)&gt;1,"DUPLICADO","OK"))))</f>
        <v>OK</v>
      </c>
    </row>
    <row r="317" spans="1:12" ht="22.8">
      <c r="A317" s="13">
        <v>38626</v>
      </c>
      <c r="B317" s="15">
        <v>2005</v>
      </c>
      <c r="C317" s="15">
        <v>10</v>
      </c>
      <c r="D317" s="15" t="s">
        <v>157</v>
      </c>
      <c r="E317" s="15" t="str">
        <f>'Hoja 1 - Área y fuentes'!C20</f>
        <v>Serie sintética de capacitación</v>
      </c>
      <c r="F317" s="15" t="str">
        <f>'Hoja 1 - Área y fuentes'!D20</f>
        <v>DID-001</v>
      </c>
      <c r="G317" s="12">
        <v>162.9</v>
      </c>
      <c r="H317" s="10" t="s">
        <v>56</v>
      </c>
      <c r="I317" s="10" t="s">
        <v>50</v>
      </c>
      <c r="J317" s="15" t="str">
        <f>'Hoja 1 - Área y fuentes'!M20</f>
        <v>Sustituir por IDEAM u otra fuente oficial</v>
      </c>
      <c r="K317" s="10" t="s">
        <v>165</v>
      </c>
      <c r="L317" s="15" t="str">
        <f>IF(G317="","FALTANTE",IF(G317&lt;0,"NEGATIVO",IF(H317&lt;&gt;"mm","UNIDAD",IF(COUNTIF($A$20:A317,A317)&gt;1,"DUPLICADO","OK"))))</f>
        <v>OK</v>
      </c>
    </row>
    <row r="318" spans="1:12" ht="22.8">
      <c r="A318" s="13">
        <v>38657</v>
      </c>
      <c r="B318" s="15">
        <v>2005</v>
      </c>
      <c r="C318" s="15">
        <v>11</v>
      </c>
      <c r="D318" s="15" t="s">
        <v>158</v>
      </c>
      <c r="E318" s="15" t="str">
        <f>'Hoja 1 - Área y fuentes'!C20</f>
        <v>Serie sintética de capacitación</v>
      </c>
      <c r="F318" s="15" t="str">
        <f>'Hoja 1 - Área y fuentes'!D20</f>
        <v>DID-001</v>
      </c>
      <c r="G318" s="12">
        <v>132.30000000000001</v>
      </c>
      <c r="H318" s="10" t="s">
        <v>56</v>
      </c>
      <c r="I318" s="10" t="s">
        <v>50</v>
      </c>
      <c r="J318" s="15" t="str">
        <f>'Hoja 1 - Área y fuentes'!M20</f>
        <v>Sustituir por IDEAM u otra fuente oficial</v>
      </c>
      <c r="K318" s="10" t="s">
        <v>165</v>
      </c>
      <c r="L318" s="15" t="str">
        <f>IF(G318="","FALTANTE",IF(G318&lt;0,"NEGATIVO",IF(H318&lt;&gt;"mm","UNIDAD",IF(COUNTIF($A$20:A318,A318)&gt;1,"DUPLICADO","OK"))))</f>
        <v>OK</v>
      </c>
    </row>
    <row r="319" spans="1:12" ht="22.8">
      <c r="A319" s="13">
        <v>38687</v>
      </c>
      <c r="B319" s="15">
        <v>2005</v>
      </c>
      <c r="C319" s="15">
        <v>12</v>
      </c>
      <c r="D319" s="15" t="s">
        <v>164</v>
      </c>
      <c r="E319" s="15" t="str">
        <f>'Hoja 1 - Área y fuentes'!C20</f>
        <v>Serie sintética de capacitación</v>
      </c>
      <c r="F319" s="15" t="str">
        <f>'Hoja 1 - Área y fuentes'!D20</f>
        <v>DID-001</v>
      </c>
      <c r="G319" s="12">
        <v>82.5</v>
      </c>
      <c r="H319" s="10" t="s">
        <v>56</v>
      </c>
      <c r="I319" s="10" t="s">
        <v>50</v>
      </c>
      <c r="J319" s="15" t="str">
        <f>'Hoja 1 - Área y fuentes'!M20</f>
        <v>Sustituir por IDEAM u otra fuente oficial</v>
      </c>
      <c r="K319" s="10" t="s">
        <v>165</v>
      </c>
      <c r="L319" s="15" t="str">
        <f>IF(G319="","FALTANTE",IF(G319&lt;0,"NEGATIVO",IF(H319&lt;&gt;"mm","UNIDAD",IF(COUNTIF($A$20:A319,A319)&gt;1,"DUPLICADO","OK"))))</f>
        <v>OK</v>
      </c>
    </row>
    <row r="320" spans="1:12" ht="22.8">
      <c r="A320" s="13">
        <v>38718</v>
      </c>
      <c r="B320" s="15">
        <v>2006</v>
      </c>
      <c r="C320" s="15">
        <v>1</v>
      </c>
      <c r="D320" s="15" t="s">
        <v>134</v>
      </c>
      <c r="E320" s="15" t="str">
        <f>'Hoja 1 - Área y fuentes'!C20</f>
        <v>Serie sintética de capacitación</v>
      </c>
      <c r="F320" s="15" t="str">
        <f>'Hoja 1 - Área y fuentes'!D20</f>
        <v>DID-001</v>
      </c>
      <c r="G320" s="12">
        <v>74.7</v>
      </c>
      <c r="H320" s="10" t="s">
        <v>56</v>
      </c>
      <c r="I320" s="10" t="s">
        <v>50</v>
      </c>
      <c r="J320" s="15" t="str">
        <f>'Hoja 1 - Área y fuentes'!M20</f>
        <v>Sustituir por IDEAM u otra fuente oficial</v>
      </c>
      <c r="K320" s="10" t="s">
        <v>165</v>
      </c>
      <c r="L320" s="15" t="str">
        <f>IF(G320="","FALTANTE",IF(G320&lt;0,"NEGATIVO",IF(H320&lt;&gt;"mm","UNIDAD",IF(COUNTIF($A$20:A320,A320)&gt;1,"DUPLICADO","OK"))))</f>
        <v>OK</v>
      </c>
    </row>
    <row r="321" spans="1:12" ht="22.8">
      <c r="A321" s="13">
        <v>38749</v>
      </c>
      <c r="B321" s="15">
        <v>2006</v>
      </c>
      <c r="C321" s="15">
        <v>2</v>
      </c>
      <c r="D321" s="15" t="s">
        <v>141</v>
      </c>
      <c r="E321" s="15" t="str">
        <f>'Hoja 1 - Área y fuentes'!C20</f>
        <v>Serie sintética de capacitación</v>
      </c>
      <c r="F321" s="15" t="str">
        <f>'Hoja 1 - Área y fuentes'!D20</f>
        <v>DID-001</v>
      </c>
      <c r="G321" s="12">
        <v>80.2</v>
      </c>
      <c r="H321" s="10" t="s">
        <v>56</v>
      </c>
      <c r="I321" s="10" t="s">
        <v>50</v>
      </c>
      <c r="J321" s="15" t="str">
        <f>'Hoja 1 - Área y fuentes'!M20</f>
        <v>Sustituir por IDEAM u otra fuente oficial</v>
      </c>
      <c r="K321" s="10" t="s">
        <v>165</v>
      </c>
      <c r="L321" s="15" t="str">
        <f>IF(G321="","FALTANTE",IF(G321&lt;0,"NEGATIVO",IF(H321&lt;&gt;"mm","UNIDAD",IF(COUNTIF($A$20:A321,A321)&gt;1,"DUPLICADO","OK"))))</f>
        <v>OK</v>
      </c>
    </row>
    <row r="322" spans="1:12" ht="22.8">
      <c r="A322" s="13">
        <v>38777</v>
      </c>
      <c r="B322" s="15">
        <v>2006</v>
      </c>
      <c r="C322" s="15">
        <v>3</v>
      </c>
      <c r="D322" s="15" t="s">
        <v>148</v>
      </c>
      <c r="E322" s="15" t="str">
        <f>'Hoja 1 - Área y fuentes'!C20</f>
        <v>Serie sintética de capacitación</v>
      </c>
      <c r="F322" s="15" t="str">
        <f>'Hoja 1 - Área y fuentes'!D20</f>
        <v>DID-001</v>
      </c>
      <c r="G322" s="12">
        <v>125.3</v>
      </c>
      <c r="H322" s="10" t="s">
        <v>56</v>
      </c>
      <c r="I322" s="10" t="s">
        <v>50</v>
      </c>
      <c r="J322" s="15" t="str">
        <f>'Hoja 1 - Área y fuentes'!M20</f>
        <v>Sustituir por IDEAM u otra fuente oficial</v>
      </c>
      <c r="K322" s="10" t="s">
        <v>165</v>
      </c>
      <c r="L322" s="15" t="str">
        <f>IF(G322="","FALTANTE",IF(G322&lt;0,"NEGATIVO",IF(H322&lt;&gt;"mm","UNIDAD",IF(COUNTIF($A$20:A322,A322)&gt;1,"DUPLICADO","OK"))))</f>
        <v>OK</v>
      </c>
    </row>
    <row r="323" spans="1:12" ht="22.8">
      <c r="A323" s="13">
        <v>38808</v>
      </c>
      <c r="B323" s="15">
        <v>2006</v>
      </c>
      <c r="C323" s="15">
        <v>4</v>
      </c>
      <c r="D323" s="15" t="s">
        <v>149</v>
      </c>
      <c r="E323" s="15" t="str">
        <f>'Hoja 1 - Área y fuentes'!C20</f>
        <v>Serie sintética de capacitación</v>
      </c>
      <c r="F323" s="15" t="str">
        <f>'Hoja 1 - Área y fuentes'!D20</f>
        <v>DID-001</v>
      </c>
      <c r="G323" s="12">
        <v>167.7</v>
      </c>
      <c r="H323" s="10" t="s">
        <v>56</v>
      </c>
      <c r="I323" s="10" t="s">
        <v>50</v>
      </c>
      <c r="J323" s="15" t="str">
        <f>'Hoja 1 - Área y fuentes'!M20</f>
        <v>Sustituir por IDEAM u otra fuente oficial</v>
      </c>
      <c r="K323" s="10" t="s">
        <v>165</v>
      </c>
      <c r="L323" s="15" t="str">
        <f>IF(G323="","FALTANTE",IF(G323&lt;0,"NEGATIVO",IF(H323&lt;&gt;"mm","UNIDAD",IF(COUNTIF($A$20:A323,A323)&gt;1,"DUPLICADO","OK"))))</f>
        <v>OK</v>
      </c>
    </row>
    <row r="324" spans="1:12" ht="22.8">
      <c r="A324" s="13">
        <v>38838</v>
      </c>
      <c r="B324" s="15">
        <v>2006</v>
      </c>
      <c r="C324" s="15">
        <v>5</v>
      </c>
      <c r="D324" s="15" t="s">
        <v>151</v>
      </c>
      <c r="E324" s="15" t="str">
        <f>'Hoja 1 - Área y fuentes'!C20</f>
        <v>Serie sintética de capacitación</v>
      </c>
      <c r="F324" s="15" t="str">
        <f>'Hoja 1 - Área y fuentes'!D20</f>
        <v>DID-001</v>
      </c>
      <c r="G324" s="12">
        <v>157.4</v>
      </c>
      <c r="H324" s="10" t="s">
        <v>56</v>
      </c>
      <c r="I324" s="10" t="s">
        <v>50</v>
      </c>
      <c r="J324" s="15" t="str">
        <f>'Hoja 1 - Área y fuentes'!M20</f>
        <v>Sustituir por IDEAM u otra fuente oficial</v>
      </c>
      <c r="K324" s="10" t="s">
        <v>165</v>
      </c>
      <c r="L324" s="15" t="str">
        <f>IF(G324="","FALTANTE",IF(G324&lt;0,"NEGATIVO",IF(H324&lt;&gt;"mm","UNIDAD",IF(COUNTIF($A$20:A324,A324)&gt;1,"DUPLICADO","OK"))))</f>
        <v>OK</v>
      </c>
    </row>
    <row r="325" spans="1:12" ht="22.8">
      <c r="A325" s="13">
        <v>38869</v>
      </c>
      <c r="B325" s="15">
        <v>2006</v>
      </c>
      <c r="C325" s="15">
        <v>6</v>
      </c>
      <c r="D325" s="15" t="s">
        <v>152</v>
      </c>
      <c r="E325" s="15" t="str">
        <f>'Hoja 1 - Área y fuentes'!C20</f>
        <v>Serie sintética de capacitación</v>
      </c>
      <c r="F325" s="15" t="str">
        <f>'Hoja 1 - Área y fuentes'!D20</f>
        <v>DID-001</v>
      </c>
      <c r="G325" s="12">
        <v>93.3</v>
      </c>
      <c r="H325" s="10" t="s">
        <v>56</v>
      </c>
      <c r="I325" s="10" t="s">
        <v>50</v>
      </c>
      <c r="J325" s="15" t="str">
        <f>'Hoja 1 - Área y fuentes'!M20</f>
        <v>Sustituir por IDEAM u otra fuente oficial</v>
      </c>
      <c r="K325" s="10" t="s">
        <v>165</v>
      </c>
      <c r="L325" s="15" t="str">
        <f>IF(G325="","FALTANTE",IF(G325&lt;0,"NEGATIVO",IF(H325&lt;&gt;"mm","UNIDAD",IF(COUNTIF($A$20:A325,A325)&gt;1,"DUPLICADO","OK"))))</f>
        <v>OK</v>
      </c>
    </row>
    <row r="326" spans="1:12" ht="22.8">
      <c r="A326" s="13">
        <v>38899</v>
      </c>
      <c r="B326" s="15">
        <v>2006</v>
      </c>
      <c r="C326" s="15">
        <v>7</v>
      </c>
      <c r="D326" s="15" t="s">
        <v>153</v>
      </c>
      <c r="E326" s="15" t="str">
        <f>'Hoja 1 - Área y fuentes'!C20</f>
        <v>Serie sintética de capacitación</v>
      </c>
      <c r="F326" s="15" t="str">
        <f>'Hoja 1 - Área y fuentes'!D20</f>
        <v>DID-001</v>
      </c>
      <c r="G326" s="12">
        <v>77.5</v>
      </c>
      <c r="H326" s="10" t="s">
        <v>56</v>
      </c>
      <c r="I326" s="10" t="s">
        <v>50</v>
      </c>
      <c r="J326" s="15" t="str">
        <f>'Hoja 1 - Área y fuentes'!M20</f>
        <v>Sustituir por IDEAM u otra fuente oficial</v>
      </c>
      <c r="K326" s="10" t="s">
        <v>165</v>
      </c>
      <c r="L326" s="15" t="str">
        <f>IF(G326="","FALTANTE",IF(G326&lt;0,"NEGATIVO",IF(H326&lt;&gt;"mm","UNIDAD",IF(COUNTIF($A$20:A326,A326)&gt;1,"DUPLICADO","OK"))))</f>
        <v>OK</v>
      </c>
    </row>
    <row r="327" spans="1:12" ht="22.8">
      <c r="A327" s="13">
        <v>38930</v>
      </c>
      <c r="B327" s="15">
        <v>2006</v>
      </c>
      <c r="C327" s="15">
        <v>8</v>
      </c>
      <c r="D327" s="15" t="s">
        <v>154</v>
      </c>
      <c r="E327" s="15" t="str">
        <f>'Hoja 1 - Área y fuentes'!C20</f>
        <v>Serie sintética de capacitación</v>
      </c>
      <c r="F327" s="15" t="str">
        <f>'Hoja 1 - Área y fuentes'!D20</f>
        <v>DID-001</v>
      </c>
      <c r="G327" s="12">
        <v>83.6</v>
      </c>
      <c r="H327" s="10" t="s">
        <v>56</v>
      </c>
      <c r="I327" s="10" t="s">
        <v>50</v>
      </c>
      <c r="J327" s="15" t="str">
        <f>'Hoja 1 - Área y fuentes'!M20</f>
        <v>Sustituir por IDEAM u otra fuente oficial</v>
      </c>
      <c r="K327" s="10" t="s">
        <v>165</v>
      </c>
      <c r="L327" s="15" t="str">
        <f>IF(G327="","FALTANTE",IF(G327&lt;0,"NEGATIVO",IF(H327&lt;&gt;"mm","UNIDAD",IF(COUNTIF($A$20:A327,A327)&gt;1,"DUPLICADO","OK"))))</f>
        <v>OK</v>
      </c>
    </row>
    <row r="328" spans="1:12" ht="22.8">
      <c r="A328" s="13">
        <v>38961</v>
      </c>
      <c r="B328" s="15">
        <v>2006</v>
      </c>
      <c r="C328" s="15">
        <v>9</v>
      </c>
      <c r="D328" s="15" t="s">
        <v>155</v>
      </c>
      <c r="E328" s="15" t="str">
        <f>'Hoja 1 - Área y fuentes'!C20</f>
        <v>Serie sintética de capacitación</v>
      </c>
      <c r="F328" s="15" t="str">
        <f>'Hoja 1 - Área y fuentes'!D20</f>
        <v>DID-001</v>
      </c>
      <c r="G328" s="12">
        <v>130.80000000000001</v>
      </c>
      <c r="H328" s="10" t="s">
        <v>56</v>
      </c>
      <c r="I328" s="10" t="s">
        <v>50</v>
      </c>
      <c r="J328" s="15" t="str">
        <f>'Hoja 1 - Área y fuentes'!M20</f>
        <v>Sustituir por IDEAM u otra fuente oficial</v>
      </c>
      <c r="K328" s="10" t="s">
        <v>165</v>
      </c>
      <c r="L328" s="15" t="str">
        <f>IF(G328="","FALTANTE",IF(G328&lt;0,"NEGATIVO",IF(H328&lt;&gt;"mm","UNIDAD",IF(COUNTIF($A$20:A328,A328)&gt;1,"DUPLICADO","OK"))))</f>
        <v>OK</v>
      </c>
    </row>
    <row r="329" spans="1:12" ht="22.8">
      <c r="A329" s="13">
        <v>38991</v>
      </c>
      <c r="B329" s="15">
        <v>2006</v>
      </c>
      <c r="C329" s="15">
        <v>10</v>
      </c>
      <c r="D329" s="15" t="s">
        <v>157</v>
      </c>
      <c r="E329" s="15" t="str">
        <f>'Hoja 1 - Área y fuentes'!C20</f>
        <v>Serie sintética de capacitación</v>
      </c>
      <c r="F329" s="15" t="str">
        <f>'Hoja 1 - Área y fuentes'!D20</f>
        <v>DID-001</v>
      </c>
      <c r="G329" s="12">
        <v>181</v>
      </c>
      <c r="H329" s="10" t="s">
        <v>56</v>
      </c>
      <c r="I329" s="10" t="s">
        <v>50</v>
      </c>
      <c r="J329" s="15" t="str">
        <f>'Hoja 1 - Área y fuentes'!M20</f>
        <v>Sustituir por IDEAM u otra fuente oficial</v>
      </c>
      <c r="K329" s="10" t="s">
        <v>165</v>
      </c>
      <c r="L329" s="15" t="str">
        <f>IF(G329="","FALTANTE",IF(G329&lt;0,"NEGATIVO",IF(H329&lt;&gt;"mm","UNIDAD",IF(COUNTIF($A$20:A329,A329)&gt;1,"DUPLICADO","OK"))))</f>
        <v>OK</v>
      </c>
    </row>
    <row r="330" spans="1:12" ht="22.8">
      <c r="A330" s="13">
        <v>39022</v>
      </c>
      <c r="B330" s="15">
        <v>2006</v>
      </c>
      <c r="C330" s="15">
        <v>11</v>
      </c>
      <c r="D330" s="15" t="s">
        <v>158</v>
      </c>
      <c r="E330" s="15" t="str">
        <f>'Hoja 1 - Área y fuentes'!C20</f>
        <v>Serie sintética de capacitación</v>
      </c>
      <c r="F330" s="15" t="str">
        <f>'Hoja 1 - Área y fuentes'!D20</f>
        <v>DID-001</v>
      </c>
      <c r="G330" s="12">
        <v>145.19999999999999</v>
      </c>
      <c r="H330" s="10" t="s">
        <v>56</v>
      </c>
      <c r="I330" s="10" t="s">
        <v>50</v>
      </c>
      <c r="J330" s="15" t="str">
        <f>'Hoja 1 - Área y fuentes'!M20</f>
        <v>Sustituir por IDEAM u otra fuente oficial</v>
      </c>
      <c r="K330" s="10" t="s">
        <v>165</v>
      </c>
      <c r="L330" s="15" t="str">
        <f>IF(G330="","FALTANTE",IF(G330&lt;0,"NEGATIVO",IF(H330&lt;&gt;"mm","UNIDAD",IF(COUNTIF($A$20:A330,A330)&gt;1,"DUPLICADO","OK"))))</f>
        <v>OK</v>
      </c>
    </row>
    <row r="331" spans="1:12" ht="22.8">
      <c r="A331" s="13">
        <v>39052</v>
      </c>
      <c r="B331" s="15">
        <v>2006</v>
      </c>
      <c r="C331" s="15">
        <v>12</v>
      </c>
      <c r="D331" s="15" t="s">
        <v>164</v>
      </c>
      <c r="E331" s="15" t="str">
        <f>'Hoja 1 - Área y fuentes'!C20</f>
        <v>Serie sintética de capacitación</v>
      </c>
      <c r="F331" s="15" t="str">
        <f>'Hoja 1 - Área y fuentes'!D20</f>
        <v>DID-001</v>
      </c>
      <c r="G331" s="12">
        <v>91.5</v>
      </c>
      <c r="H331" s="10" t="s">
        <v>56</v>
      </c>
      <c r="I331" s="10" t="s">
        <v>50</v>
      </c>
      <c r="J331" s="15" t="str">
        <f>'Hoja 1 - Área y fuentes'!M20</f>
        <v>Sustituir por IDEAM u otra fuente oficial</v>
      </c>
      <c r="K331" s="10" t="s">
        <v>165</v>
      </c>
      <c r="L331" s="15" t="str">
        <f>IF(G331="","FALTANTE",IF(G331&lt;0,"NEGATIVO",IF(H331&lt;&gt;"mm","UNIDAD",IF(COUNTIF($A$20:A331,A331)&gt;1,"DUPLICADO","OK"))))</f>
        <v>OK</v>
      </c>
    </row>
    <row r="332" spans="1:12" ht="22.8">
      <c r="A332" s="13">
        <v>39083</v>
      </c>
      <c r="B332" s="15">
        <v>2007</v>
      </c>
      <c r="C332" s="15">
        <v>1</v>
      </c>
      <c r="D332" s="15" t="s">
        <v>134</v>
      </c>
      <c r="E332" s="15" t="str">
        <f>'Hoja 1 - Área y fuentes'!C20</f>
        <v>Serie sintética de capacitación</v>
      </c>
      <c r="F332" s="15" t="str">
        <f>'Hoja 1 - Área y fuentes'!D20</f>
        <v>DID-001</v>
      </c>
      <c r="G332" s="12">
        <v>69.7</v>
      </c>
      <c r="H332" s="10" t="s">
        <v>56</v>
      </c>
      <c r="I332" s="10" t="s">
        <v>50</v>
      </c>
      <c r="J332" s="15" t="str">
        <f>'Hoja 1 - Área y fuentes'!M20</f>
        <v>Sustituir por IDEAM u otra fuente oficial</v>
      </c>
      <c r="K332" s="10" t="s">
        <v>165</v>
      </c>
      <c r="L332" s="15" t="str">
        <f>IF(G332="","FALTANTE",IF(G332&lt;0,"NEGATIVO",IF(H332&lt;&gt;"mm","UNIDAD",IF(COUNTIF($A$20:A332,A332)&gt;1,"DUPLICADO","OK"))))</f>
        <v>OK</v>
      </c>
    </row>
    <row r="333" spans="1:12" ht="22.8">
      <c r="A333" s="13">
        <v>39114</v>
      </c>
      <c r="B333" s="15">
        <v>2007</v>
      </c>
      <c r="C333" s="15">
        <v>2</v>
      </c>
      <c r="D333" s="15" t="s">
        <v>141</v>
      </c>
      <c r="E333" s="15" t="str">
        <f>'Hoja 1 - Área y fuentes'!C20</f>
        <v>Serie sintética de capacitación</v>
      </c>
      <c r="F333" s="15" t="str">
        <f>'Hoja 1 - Área y fuentes'!D20</f>
        <v>DID-001</v>
      </c>
      <c r="G333" s="12">
        <v>79.400000000000006</v>
      </c>
      <c r="H333" s="10" t="s">
        <v>56</v>
      </c>
      <c r="I333" s="10" t="s">
        <v>50</v>
      </c>
      <c r="J333" s="15" t="str">
        <f>'Hoja 1 - Área y fuentes'!M20</f>
        <v>Sustituir por IDEAM u otra fuente oficial</v>
      </c>
      <c r="K333" s="10" t="s">
        <v>165</v>
      </c>
      <c r="L333" s="15" t="str">
        <f>IF(G333="","FALTANTE",IF(G333&lt;0,"NEGATIVO",IF(H333&lt;&gt;"mm","UNIDAD",IF(COUNTIF($A$20:A333,A333)&gt;1,"DUPLICADO","OK"))))</f>
        <v>OK</v>
      </c>
    </row>
    <row r="334" spans="1:12" ht="22.8">
      <c r="A334" s="13">
        <v>39142</v>
      </c>
      <c r="B334" s="15">
        <v>2007</v>
      </c>
      <c r="C334" s="15">
        <v>3</v>
      </c>
      <c r="D334" s="15" t="s">
        <v>148</v>
      </c>
      <c r="E334" s="15" t="str">
        <f>'Hoja 1 - Área y fuentes'!C20</f>
        <v>Serie sintética de capacitación</v>
      </c>
      <c r="F334" s="15" t="str">
        <f>'Hoja 1 - Área y fuentes'!D20</f>
        <v>DID-001</v>
      </c>
      <c r="G334" s="12">
        <v>112.6</v>
      </c>
      <c r="H334" s="10" t="s">
        <v>56</v>
      </c>
      <c r="I334" s="10" t="s">
        <v>50</v>
      </c>
      <c r="J334" s="15" t="str">
        <f>'Hoja 1 - Área y fuentes'!M20</f>
        <v>Sustituir por IDEAM u otra fuente oficial</v>
      </c>
      <c r="K334" s="10" t="s">
        <v>165</v>
      </c>
      <c r="L334" s="15" t="str">
        <f>IF(G334="","FALTANTE",IF(G334&lt;0,"NEGATIVO",IF(H334&lt;&gt;"mm","UNIDAD",IF(COUNTIF($A$20:A334,A334)&gt;1,"DUPLICADO","OK"))))</f>
        <v>OK</v>
      </c>
    </row>
    <row r="335" spans="1:12" ht="22.8">
      <c r="A335" s="13">
        <v>39173</v>
      </c>
      <c r="B335" s="15">
        <v>2007</v>
      </c>
      <c r="C335" s="15">
        <v>4</v>
      </c>
      <c r="D335" s="15" t="s">
        <v>149</v>
      </c>
      <c r="E335" s="15" t="str">
        <f>'Hoja 1 - Área y fuentes'!C20</f>
        <v>Serie sintética de capacitación</v>
      </c>
      <c r="F335" s="15" t="str">
        <f>'Hoja 1 - Área y fuentes'!D20</f>
        <v>DID-001</v>
      </c>
      <c r="G335" s="12">
        <v>169.8</v>
      </c>
      <c r="H335" s="10" t="s">
        <v>56</v>
      </c>
      <c r="I335" s="10" t="s">
        <v>50</v>
      </c>
      <c r="J335" s="15" t="str">
        <f>'Hoja 1 - Área y fuentes'!M20</f>
        <v>Sustituir por IDEAM u otra fuente oficial</v>
      </c>
      <c r="K335" s="10" t="s">
        <v>165</v>
      </c>
      <c r="L335" s="15" t="str">
        <f>IF(G335="","FALTANTE",IF(G335&lt;0,"NEGATIVO",IF(H335&lt;&gt;"mm","UNIDAD",IF(COUNTIF($A$20:A335,A335)&gt;1,"DUPLICADO","OK"))))</f>
        <v>OK</v>
      </c>
    </row>
    <row r="336" spans="1:12" ht="22.8">
      <c r="A336" s="13">
        <v>39203</v>
      </c>
      <c r="B336" s="15">
        <v>2007</v>
      </c>
      <c r="C336" s="15">
        <v>5</v>
      </c>
      <c r="D336" s="15" t="s">
        <v>151</v>
      </c>
      <c r="E336" s="15" t="str">
        <f>'Hoja 1 - Área y fuentes'!C20</f>
        <v>Serie sintética de capacitación</v>
      </c>
      <c r="F336" s="15" t="str">
        <f>'Hoja 1 - Área y fuentes'!D20</f>
        <v>DID-001</v>
      </c>
      <c r="G336" s="12">
        <v>141.19999999999999</v>
      </c>
      <c r="H336" s="10" t="s">
        <v>56</v>
      </c>
      <c r="I336" s="10" t="s">
        <v>50</v>
      </c>
      <c r="J336" s="15" t="str">
        <f>'Hoja 1 - Área y fuentes'!M20</f>
        <v>Sustituir por IDEAM u otra fuente oficial</v>
      </c>
      <c r="K336" s="10" t="s">
        <v>165</v>
      </c>
      <c r="L336" s="15" t="str">
        <f>IF(G336="","FALTANTE",IF(G336&lt;0,"NEGATIVO",IF(H336&lt;&gt;"mm","UNIDAD",IF(COUNTIF($A$20:A336,A336)&gt;1,"DUPLICADO","OK"))))</f>
        <v>OK</v>
      </c>
    </row>
    <row r="337" spans="1:12" ht="22.8">
      <c r="A337" s="13">
        <v>39234</v>
      </c>
      <c r="B337" s="15">
        <v>2007</v>
      </c>
      <c r="C337" s="15">
        <v>6</v>
      </c>
      <c r="D337" s="15" t="s">
        <v>152</v>
      </c>
      <c r="E337" s="15" t="str">
        <f>'Hoja 1 - Área y fuentes'!C20</f>
        <v>Serie sintética de capacitación</v>
      </c>
      <c r="F337" s="15" t="str">
        <f>'Hoja 1 - Área y fuentes'!D20</f>
        <v>DID-001</v>
      </c>
      <c r="G337" s="12">
        <v>92.1</v>
      </c>
      <c r="H337" s="10" t="s">
        <v>56</v>
      </c>
      <c r="I337" s="10" t="s">
        <v>50</v>
      </c>
      <c r="J337" s="15" t="str">
        <f>'Hoja 1 - Área y fuentes'!M20</f>
        <v>Sustituir por IDEAM u otra fuente oficial</v>
      </c>
      <c r="K337" s="10" t="s">
        <v>165</v>
      </c>
      <c r="L337" s="15" t="str">
        <f>IF(G337="","FALTANTE",IF(G337&lt;0,"NEGATIVO",IF(H337&lt;&gt;"mm","UNIDAD",IF(COUNTIF($A$20:A337,A337)&gt;1,"DUPLICADO","OK"))))</f>
        <v>OK</v>
      </c>
    </row>
    <row r="338" spans="1:12" ht="22.8">
      <c r="A338" s="13">
        <v>39264</v>
      </c>
      <c r="B338" s="15">
        <v>2007</v>
      </c>
      <c r="C338" s="15">
        <v>7</v>
      </c>
      <c r="D338" s="15" t="s">
        <v>153</v>
      </c>
      <c r="E338" s="15" t="str">
        <f>'Hoja 1 - Área y fuentes'!C20</f>
        <v>Serie sintética de capacitación</v>
      </c>
      <c r="F338" s="15" t="str">
        <f>'Hoja 1 - Área y fuentes'!D20</f>
        <v>DID-001</v>
      </c>
      <c r="G338" s="12">
        <v>73.099999999999994</v>
      </c>
      <c r="H338" s="10" t="s">
        <v>56</v>
      </c>
      <c r="I338" s="10" t="s">
        <v>50</v>
      </c>
      <c r="J338" s="15" t="str">
        <f>'Hoja 1 - Área y fuentes'!M20</f>
        <v>Sustituir por IDEAM u otra fuente oficial</v>
      </c>
      <c r="K338" s="10" t="s">
        <v>165</v>
      </c>
      <c r="L338" s="15" t="str">
        <f>IF(G338="","FALTANTE",IF(G338&lt;0,"NEGATIVO",IF(H338&lt;&gt;"mm","UNIDAD",IF(COUNTIF($A$20:A338,A338)&gt;1,"DUPLICADO","OK"))))</f>
        <v>OK</v>
      </c>
    </row>
    <row r="339" spans="1:12" ht="22.8">
      <c r="A339" s="13">
        <v>39295</v>
      </c>
      <c r="B339" s="15">
        <v>2007</v>
      </c>
      <c r="C339" s="15">
        <v>8</v>
      </c>
      <c r="D339" s="15" t="s">
        <v>154</v>
      </c>
      <c r="E339" s="15" t="str">
        <f>'Hoja 1 - Área y fuentes'!C20</f>
        <v>Serie sintética de capacitación</v>
      </c>
      <c r="F339" s="15" t="str">
        <f>'Hoja 1 - Área y fuentes'!D20</f>
        <v>DID-001</v>
      </c>
      <c r="G339" s="12">
        <v>77.7</v>
      </c>
      <c r="H339" s="10" t="s">
        <v>56</v>
      </c>
      <c r="I339" s="10" t="s">
        <v>50</v>
      </c>
      <c r="J339" s="15" t="str">
        <f>'Hoja 1 - Área y fuentes'!M20</f>
        <v>Sustituir por IDEAM u otra fuente oficial</v>
      </c>
      <c r="K339" s="10" t="s">
        <v>165</v>
      </c>
      <c r="L339" s="15" t="str">
        <f>IF(G339="","FALTANTE",IF(G339&lt;0,"NEGATIVO",IF(H339&lt;&gt;"mm","UNIDAD",IF(COUNTIF($A$20:A339,A339)&gt;1,"DUPLICADO","OK"))))</f>
        <v>OK</v>
      </c>
    </row>
    <row r="340" spans="1:12" ht="22.8">
      <c r="A340" s="13">
        <v>39326</v>
      </c>
      <c r="B340" s="15">
        <v>2007</v>
      </c>
      <c r="C340" s="15">
        <v>9</v>
      </c>
      <c r="D340" s="15" t="s">
        <v>155</v>
      </c>
      <c r="E340" s="15" t="str">
        <f>'Hoja 1 - Área y fuentes'!C20</f>
        <v>Serie sintética de capacitación</v>
      </c>
      <c r="F340" s="15" t="str">
        <f>'Hoja 1 - Área y fuentes'!D20</f>
        <v>DID-001</v>
      </c>
      <c r="G340" s="12">
        <v>130.69999999999999</v>
      </c>
      <c r="H340" s="10" t="s">
        <v>56</v>
      </c>
      <c r="I340" s="10" t="s">
        <v>50</v>
      </c>
      <c r="J340" s="15" t="str">
        <f>'Hoja 1 - Área y fuentes'!M20</f>
        <v>Sustituir por IDEAM u otra fuente oficial</v>
      </c>
      <c r="K340" s="10" t="s">
        <v>165</v>
      </c>
      <c r="L340" s="15" t="str">
        <f>IF(G340="","FALTANTE",IF(G340&lt;0,"NEGATIVO",IF(H340&lt;&gt;"mm","UNIDAD",IF(COUNTIF($A$20:A340,A340)&gt;1,"DUPLICADO","OK"))))</f>
        <v>OK</v>
      </c>
    </row>
    <row r="341" spans="1:12" ht="22.8">
      <c r="A341" s="13">
        <v>39356</v>
      </c>
      <c r="B341" s="15">
        <v>2007</v>
      </c>
      <c r="C341" s="15">
        <v>10</v>
      </c>
      <c r="D341" s="15" t="s">
        <v>157</v>
      </c>
      <c r="E341" s="15" t="str">
        <f>'Hoja 1 - Área y fuentes'!C20</f>
        <v>Serie sintética de capacitación</v>
      </c>
      <c r="F341" s="15" t="str">
        <f>'Hoja 1 - Área y fuentes'!D20</f>
        <v>DID-001</v>
      </c>
      <c r="G341" s="12">
        <v>161.19999999999999</v>
      </c>
      <c r="H341" s="10" t="s">
        <v>56</v>
      </c>
      <c r="I341" s="10" t="s">
        <v>50</v>
      </c>
      <c r="J341" s="15" t="str">
        <f>'Hoja 1 - Área y fuentes'!M20</f>
        <v>Sustituir por IDEAM u otra fuente oficial</v>
      </c>
      <c r="K341" s="10" t="s">
        <v>165</v>
      </c>
      <c r="L341" s="15" t="str">
        <f>IF(G341="","FALTANTE",IF(G341&lt;0,"NEGATIVO",IF(H341&lt;&gt;"mm","UNIDAD",IF(COUNTIF($A$20:A341,A341)&gt;1,"DUPLICADO","OK"))))</f>
        <v>OK</v>
      </c>
    </row>
    <row r="342" spans="1:12" ht="22.8">
      <c r="A342" s="13">
        <v>39387</v>
      </c>
      <c r="B342" s="15">
        <v>2007</v>
      </c>
      <c r="C342" s="15">
        <v>11</v>
      </c>
      <c r="D342" s="15" t="s">
        <v>158</v>
      </c>
      <c r="E342" s="15" t="str">
        <f>'Hoja 1 - Área y fuentes'!C20</f>
        <v>Serie sintética de capacitación</v>
      </c>
      <c r="F342" s="15" t="str">
        <f>'Hoja 1 - Área y fuentes'!D20</f>
        <v>DID-001</v>
      </c>
      <c r="G342" s="12">
        <v>147.4</v>
      </c>
      <c r="H342" s="10" t="s">
        <v>56</v>
      </c>
      <c r="I342" s="10" t="s">
        <v>50</v>
      </c>
      <c r="J342" s="15" t="str">
        <f>'Hoja 1 - Área y fuentes'!M20</f>
        <v>Sustituir por IDEAM u otra fuente oficial</v>
      </c>
      <c r="K342" s="10" t="s">
        <v>165</v>
      </c>
      <c r="L342" s="15" t="str">
        <f>IF(G342="","FALTANTE",IF(G342&lt;0,"NEGATIVO",IF(H342&lt;&gt;"mm","UNIDAD",IF(COUNTIF($A$20:A342,A342)&gt;1,"DUPLICADO","OK"))))</f>
        <v>OK</v>
      </c>
    </row>
    <row r="343" spans="1:12" ht="22.8">
      <c r="A343" s="13">
        <v>39417</v>
      </c>
      <c r="B343" s="15">
        <v>2007</v>
      </c>
      <c r="C343" s="15">
        <v>12</v>
      </c>
      <c r="D343" s="15" t="s">
        <v>164</v>
      </c>
      <c r="E343" s="15" t="str">
        <f>'Hoja 1 - Área y fuentes'!C20</f>
        <v>Serie sintética de capacitación</v>
      </c>
      <c r="F343" s="15" t="str">
        <f>'Hoja 1 - Área y fuentes'!D20</f>
        <v>DID-001</v>
      </c>
      <c r="G343" s="12">
        <v>82.5</v>
      </c>
      <c r="H343" s="10" t="s">
        <v>56</v>
      </c>
      <c r="I343" s="10" t="s">
        <v>50</v>
      </c>
      <c r="J343" s="15" t="str">
        <f>'Hoja 1 - Área y fuentes'!M20</f>
        <v>Sustituir por IDEAM u otra fuente oficial</v>
      </c>
      <c r="K343" s="10" t="s">
        <v>165</v>
      </c>
      <c r="L343" s="15" t="str">
        <f>IF(G343="","FALTANTE",IF(G343&lt;0,"NEGATIVO",IF(H343&lt;&gt;"mm","UNIDAD",IF(COUNTIF($A$20:A343,A343)&gt;1,"DUPLICADO","OK"))))</f>
        <v>OK</v>
      </c>
    </row>
    <row r="344" spans="1:12" ht="22.8">
      <c r="A344" s="13">
        <v>39448</v>
      </c>
      <c r="B344" s="15">
        <v>2008</v>
      </c>
      <c r="C344" s="15">
        <v>1</v>
      </c>
      <c r="D344" s="15" t="s">
        <v>134</v>
      </c>
      <c r="E344" s="15" t="str">
        <f>'Hoja 1 - Área y fuentes'!C20</f>
        <v>Serie sintética de capacitación</v>
      </c>
      <c r="F344" s="15" t="str">
        <f>'Hoja 1 - Área y fuentes'!D20</f>
        <v>DID-001</v>
      </c>
      <c r="G344" s="12">
        <v>58.9</v>
      </c>
      <c r="H344" s="10" t="s">
        <v>56</v>
      </c>
      <c r="I344" s="10" t="s">
        <v>50</v>
      </c>
      <c r="J344" s="15" t="str">
        <f>'Hoja 1 - Área y fuentes'!M20</f>
        <v>Sustituir por IDEAM u otra fuente oficial</v>
      </c>
      <c r="K344" s="10" t="s">
        <v>165</v>
      </c>
      <c r="L344" s="15" t="str">
        <f>IF(G344="","FALTANTE",IF(G344&lt;0,"NEGATIVO",IF(H344&lt;&gt;"mm","UNIDAD",IF(COUNTIF($A$20:A344,A344)&gt;1,"DUPLICADO","OK"))))</f>
        <v>OK</v>
      </c>
    </row>
    <row r="345" spans="1:12" ht="22.8">
      <c r="A345" s="13">
        <v>39479</v>
      </c>
      <c r="B345" s="15">
        <v>2008</v>
      </c>
      <c r="C345" s="15">
        <v>2</v>
      </c>
      <c r="D345" s="15" t="s">
        <v>141</v>
      </c>
      <c r="E345" s="15" t="str">
        <f>'Hoja 1 - Área y fuentes'!C20</f>
        <v>Serie sintética de capacitación</v>
      </c>
      <c r="F345" s="15" t="str">
        <f>'Hoja 1 - Área y fuentes'!D20</f>
        <v>DID-001</v>
      </c>
      <c r="G345" s="12">
        <v>72.2</v>
      </c>
      <c r="H345" s="10" t="s">
        <v>56</v>
      </c>
      <c r="I345" s="10" t="s">
        <v>50</v>
      </c>
      <c r="J345" s="15" t="str">
        <f>'Hoja 1 - Área y fuentes'!M20</f>
        <v>Sustituir por IDEAM u otra fuente oficial</v>
      </c>
      <c r="K345" s="10" t="s">
        <v>165</v>
      </c>
      <c r="L345" s="15" t="str">
        <f>IF(G345="","FALTANTE",IF(G345&lt;0,"NEGATIVO",IF(H345&lt;&gt;"mm","UNIDAD",IF(COUNTIF($A$20:A345,A345)&gt;1,"DUPLICADO","OK"))))</f>
        <v>OK</v>
      </c>
    </row>
    <row r="346" spans="1:12" ht="22.8">
      <c r="A346" s="13">
        <v>39508</v>
      </c>
      <c r="B346" s="15">
        <v>2008</v>
      </c>
      <c r="C346" s="15">
        <v>3</v>
      </c>
      <c r="D346" s="15" t="s">
        <v>148</v>
      </c>
      <c r="E346" s="15" t="str">
        <f>'Hoja 1 - Área y fuentes'!C20</f>
        <v>Serie sintética de capacitación</v>
      </c>
      <c r="F346" s="15" t="str">
        <f>'Hoja 1 - Área y fuentes'!D20</f>
        <v>DID-001</v>
      </c>
      <c r="G346" s="12">
        <v>97.1</v>
      </c>
      <c r="H346" s="10" t="s">
        <v>56</v>
      </c>
      <c r="I346" s="10" t="s">
        <v>50</v>
      </c>
      <c r="J346" s="15" t="str">
        <f>'Hoja 1 - Área y fuentes'!M20</f>
        <v>Sustituir por IDEAM u otra fuente oficial</v>
      </c>
      <c r="K346" s="10" t="s">
        <v>165</v>
      </c>
      <c r="L346" s="15" t="str">
        <f>IF(G346="","FALTANTE",IF(G346&lt;0,"NEGATIVO",IF(H346&lt;&gt;"mm","UNIDAD",IF(COUNTIF($A$20:A346,A346)&gt;1,"DUPLICADO","OK"))))</f>
        <v>OK</v>
      </c>
    </row>
    <row r="347" spans="1:12" ht="22.8">
      <c r="A347" s="13">
        <v>39539</v>
      </c>
      <c r="B347" s="15">
        <v>2008</v>
      </c>
      <c r="C347" s="15">
        <v>4</v>
      </c>
      <c r="D347" s="15" t="s">
        <v>149</v>
      </c>
      <c r="E347" s="15" t="str">
        <f>'Hoja 1 - Área y fuentes'!C20</f>
        <v>Serie sintética de capacitación</v>
      </c>
      <c r="F347" s="15" t="str">
        <f>'Hoja 1 - Área y fuentes'!D20</f>
        <v>DID-001</v>
      </c>
      <c r="G347" s="12">
        <v>142.9</v>
      </c>
      <c r="H347" s="10" t="s">
        <v>56</v>
      </c>
      <c r="I347" s="10" t="s">
        <v>50</v>
      </c>
      <c r="J347" s="15" t="str">
        <f>'Hoja 1 - Área y fuentes'!M20</f>
        <v>Sustituir por IDEAM u otra fuente oficial</v>
      </c>
      <c r="K347" s="10" t="s">
        <v>165</v>
      </c>
      <c r="L347" s="15" t="str">
        <f>IF(G347="","FALTANTE",IF(G347&lt;0,"NEGATIVO",IF(H347&lt;&gt;"mm","UNIDAD",IF(COUNTIF($A$20:A347,A347)&gt;1,"DUPLICADO","OK"))))</f>
        <v>OK</v>
      </c>
    </row>
    <row r="348" spans="1:12" ht="22.8">
      <c r="A348" s="13">
        <v>39569</v>
      </c>
      <c r="B348" s="15">
        <v>2008</v>
      </c>
      <c r="C348" s="15">
        <v>5</v>
      </c>
      <c r="D348" s="15" t="s">
        <v>151</v>
      </c>
      <c r="E348" s="15" t="str">
        <f>'Hoja 1 - Área y fuentes'!C20</f>
        <v>Serie sintética de capacitación</v>
      </c>
      <c r="F348" s="15" t="str">
        <f>'Hoja 1 - Área y fuentes'!D20</f>
        <v>DID-001</v>
      </c>
      <c r="G348" s="12">
        <v>133.80000000000001</v>
      </c>
      <c r="H348" s="10" t="s">
        <v>56</v>
      </c>
      <c r="I348" s="10" t="s">
        <v>50</v>
      </c>
      <c r="J348" s="15" t="str">
        <f>'Hoja 1 - Área y fuentes'!M20</f>
        <v>Sustituir por IDEAM u otra fuente oficial</v>
      </c>
      <c r="K348" s="10" t="s">
        <v>165</v>
      </c>
      <c r="L348" s="15" t="str">
        <f>IF(G348="","FALTANTE",IF(G348&lt;0,"NEGATIVO",IF(H348&lt;&gt;"mm","UNIDAD",IF(COUNTIF($A$20:A348,A348)&gt;1,"DUPLICADO","OK"))))</f>
        <v>OK</v>
      </c>
    </row>
    <row r="349" spans="1:12" ht="22.8">
      <c r="A349" s="13">
        <v>39600</v>
      </c>
      <c r="B349" s="15">
        <v>2008</v>
      </c>
      <c r="C349" s="15">
        <v>6</v>
      </c>
      <c r="D349" s="15" t="s">
        <v>152</v>
      </c>
      <c r="E349" s="15" t="str">
        <f>'Hoja 1 - Área y fuentes'!C20</f>
        <v>Serie sintética de capacitación</v>
      </c>
      <c r="F349" s="15" t="str">
        <f>'Hoja 1 - Área y fuentes'!D20</f>
        <v>DID-001</v>
      </c>
      <c r="G349" s="12">
        <v>74.5</v>
      </c>
      <c r="H349" s="10" t="s">
        <v>56</v>
      </c>
      <c r="I349" s="10" t="s">
        <v>50</v>
      </c>
      <c r="J349" s="15" t="str">
        <f>'Hoja 1 - Área y fuentes'!M20</f>
        <v>Sustituir por IDEAM u otra fuente oficial</v>
      </c>
      <c r="K349" s="10" t="s">
        <v>165</v>
      </c>
      <c r="L349" s="15" t="str">
        <f>IF(G349="","FALTANTE",IF(G349&lt;0,"NEGATIVO",IF(H349&lt;&gt;"mm","UNIDAD",IF(COUNTIF($A$20:A349,A349)&gt;1,"DUPLICADO","OK"))))</f>
        <v>OK</v>
      </c>
    </row>
    <row r="350" spans="1:12" ht="22.8">
      <c r="A350" s="13">
        <v>39630</v>
      </c>
      <c r="B350" s="15">
        <v>2008</v>
      </c>
      <c r="C350" s="15">
        <v>7</v>
      </c>
      <c r="D350" s="15" t="s">
        <v>153</v>
      </c>
      <c r="E350" s="15" t="str">
        <f>'Hoja 1 - Área y fuentes'!C20</f>
        <v>Serie sintética de capacitación</v>
      </c>
      <c r="F350" s="15" t="str">
        <f>'Hoja 1 - Área y fuentes'!D20</f>
        <v>DID-001</v>
      </c>
      <c r="G350" s="12">
        <v>65.599999999999994</v>
      </c>
      <c r="H350" s="10" t="s">
        <v>56</v>
      </c>
      <c r="I350" s="10" t="s">
        <v>50</v>
      </c>
      <c r="J350" s="15" t="str">
        <f>'Hoja 1 - Área y fuentes'!M20</f>
        <v>Sustituir por IDEAM u otra fuente oficial</v>
      </c>
      <c r="K350" s="10" t="s">
        <v>165</v>
      </c>
      <c r="L350" s="15" t="str">
        <f>IF(G350="","FALTANTE",IF(G350&lt;0,"NEGATIVO",IF(H350&lt;&gt;"mm","UNIDAD",IF(COUNTIF($A$20:A350,A350)&gt;1,"DUPLICADO","OK"))))</f>
        <v>OK</v>
      </c>
    </row>
    <row r="351" spans="1:12" ht="22.8">
      <c r="A351" s="13">
        <v>39661</v>
      </c>
      <c r="B351" s="15">
        <v>2008</v>
      </c>
      <c r="C351" s="15">
        <v>8</v>
      </c>
      <c r="D351" s="15" t="s">
        <v>154</v>
      </c>
      <c r="E351" s="15" t="str">
        <f>'Hoja 1 - Área y fuentes'!C20</f>
        <v>Serie sintética de capacitación</v>
      </c>
      <c r="F351" s="15" t="str">
        <f>'Hoja 1 - Área y fuentes'!D20</f>
        <v>DID-001</v>
      </c>
      <c r="G351" s="12">
        <v>70.8</v>
      </c>
      <c r="H351" s="10" t="s">
        <v>56</v>
      </c>
      <c r="I351" s="10" t="s">
        <v>50</v>
      </c>
      <c r="J351" s="15" t="str">
        <f>'Hoja 1 - Área y fuentes'!M20</f>
        <v>Sustituir por IDEAM u otra fuente oficial</v>
      </c>
      <c r="K351" s="10" t="s">
        <v>165</v>
      </c>
      <c r="L351" s="15" t="str">
        <f>IF(G351="","FALTANTE",IF(G351&lt;0,"NEGATIVO",IF(H351&lt;&gt;"mm","UNIDAD",IF(COUNTIF($A$20:A351,A351)&gt;1,"DUPLICADO","OK"))))</f>
        <v>OK</v>
      </c>
    </row>
    <row r="352" spans="1:12" ht="22.8">
      <c r="A352" s="13">
        <v>39692</v>
      </c>
      <c r="B352" s="15">
        <v>2008</v>
      </c>
      <c r="C352" s="15">
        <v>9</v>
      </c>
      <c r="D352" s="15" t="s">
        <v>155</v>
      </c>
      <c r="E352" s="15" t="str">
        <f>'Hoja 1 - Área y fuentes'!C20</f>
        <v>Serie sintética de capacitación</v>
      </c>
      <c r="F352" s="15" t="str">
        <f>'Hoja 1 - Área y fuentes'!D20</f>
        <v>DID-001</v>
      </c>
      <c r="G352" s="12">
        <v>105</v>
      </c>
      <c r="H352" s="10" t="s">
        <v>56</v>
      </c>
      <c r="I352" s="10" t="s">
        <v>50</v>
      </c>
      <c r="J352" s="15" t="str">
        <f>'Hoja 1 - Área y fuentes'!M20</f>
        <v>Sustituir por IDEAM u otra fuente oficial</v>
      </c>
      <c r="K352" s="10" t="s">
        <v>165</v>
      </c>
      <c r="L352" s="15" t="str">
        <f>IF(G352="","FALTANTE",IF(G352&lt;0,"NEGATIVO",IF(H352&lt;&gt;"mm","UNIDAD",IF(COUNTIF($A$20:A352,A352)&gt;1,"DUPLICADO","OK"))))</f>
        <v>OK</v>
      </c>
    </row>
    <row r="353" spans="1:12" ht="22.8">
      <c r="A353" s="13">
        <v>39722</v>
      </c>
      <c r="B353" s="15">
        <v>2008</v>
      </c>
      <c r="C353" s="15">
        <v>10</v>
      </c>
      <c r="D353" s="15" t="s">
        <v>157</v>
      </c>
      <c r="E353" s="15" t="str">
        <f>'Hoja 1 - Área y fuentes'!C20</f>
        <v>Serie sintética de capacitación</v>
      </c>
      <c r="F353" s="15" t="str">
        <f>'Hoja 1 - Área y fuentes'!D20</f>
        <v>DID-001</v>
      </c>
      <c r="G353" s="12">
        <v>151.9</v>
      </c>
      <c r="H353" s="10" t="s">
        <v>56</v>
      </c>
      <c r="I353" s="10" t="s">
        <v>50</v>
      </c>
      <c r="J353" s="15" t="str">
        <f>'Hoja 1 - Área y fuentes'!M20</f>
        <v>Sustituir por IDEAM u otra fuente oficial</v>
      </c>
      <c r="K353" s="10" t="s">
        <v>165</v>
      </c>
      <c r="L353" s="15" t="str">
        <f>IF(G353="","FALTANTE",IF(G353&lt;0,"NEGATIVO",IF(H353&lt;&gt;"mm","UNIDAD",IF(COUNTIF($A$20:A353,A353)&gt;1,"DUPLICADO","OK"))))</f>
        <v>OK</v>
      </c>
    </row>
    <row r="354" spans="1:12" ht="22.8">
      <c r="A354" s="13">
        <v>39753</v>
      </c>
      <c r="B354" s="15">
        <v>2008</v>
      </c>
      <c r="C354" s="15">
        <v>11</v>
      </c>
      <c r="D354" s="15" t="s">
        <v>158</v>
      </c>
      <c r="E354" s="15" t="str">
        <f>'Hoja 1 - Área y fuentes'!C20</f>
        <v>Serie sintética de capacitación</v>
      </c>
      <c r="F354" s="15" t="str">
        <f>'Hoja 1 - Área y fuentes'!D20</f>
        <v>DID-001</v>
      </c>
      <c r="G354" s="12">
        <v>125.6</v>
      </c>
      <c r="H354" s="10" t="s">
        <v>56</v>
      </c>
      <c r="I354" s="10" t="s">
        <v>50</v>
      </c>
      <c r="J354" s="15" t="str">
        <f>'Hoja 1 - Área y fuentes'!M20</f>
        <v>Sustituir por IDEAM u otra fuente oficial</v>
      </c>
      <c r="K354" s="10" t="s">
        <v>165</v>
      </c>
      <c r="L354" s="15" t="str">
        <f>IF(G354="","FALTANTE",IF(G354&lt;0,"NEGATIVO",IF(H354&lt;&gt;"mm","UNIDAD",IF(COUNTIF($A$20:A354,A354)&gt;1,"DUPLICADO","OK"))))</f>
        <v>OK</v>
      </c>
    </row>
    <row r="355" spans="1:12" ht="22.8">
      <c r="A355" s="13">
        <v>39783</v>
      </c>
      <c r="B355" s="15">
        <v>2008</v>
      </c>
      <c r="C355" s="15">
        <v>12</v>
      </c>
      <c r="D355" s="15" t="s">
        <v>164</v>
      </c>
      <c r="E355" s="15" t="str">
        <f>'Hoja 1 - Área y fuentes'!C20</f>
        <v>Serie sintética de capacitación</v>
      </c>
      <c r="F355" s="15" t="str">
        <f>'Hoja 1 - Área y fuentes'!D20</f>
        <v>DID-001</v>
      </c>
      <c r="G355" s="12">
        <v>70.3</v>
      </c>
      <c r="H355" s="10" t="s">
        <v>56</v>
      </c>
      <c r="I355" s="10" t="s">
        <v>50</v>
      </c>
      <c r="J355" s="15" t="str">
        <f>'Hoja 1 - Área y fuentes'!M20</f>
        <v>Sustituir por IDEAM u otra fuente oficial</v>
      </c>
      <c r="K355" s="10" t="s">
        <v>165</v>
      </c>
      <c r="L355" s="15" t="str">
        <f>IF(G355="","FALTANTE",IF(G355&lt;0,"NEGATIVO",IF(H355&lt;&gt;"mm","UNIDAD",IF(COUNTIF($A$20:A355,A355)&gt;1,"DUPLICADO","OK"))))</f>
        <v>OK</v>
      </c>
    </row>
    <row r="356" spans="1:12" ht="22.8">
      <c r="A356" s="13">
        <v>39814</v>
      </c>
      <c r="B356" s="15">
        <v>2009</v>
      </c>
      <c r="C356" s="15">
        <v>1</v>
      </c>
      <c r="D356" s="15" t="s">
        <v>134</v>
      </c>
      <c r="E356" s="15" t="str">
        <f>'Hoja 1 - Área y fuentes'!C20</f>
        <v>Serie sintética de capacitación</v>
      </c>
      <c r="F356" s="15" t="str">
        <f>'Hoja 1 - Área y fuentes'!D20</f>
        <v>DID-001</v>
      </c>
      <c r="G356" s="12">
        <v>56.4</v>
      </c>
      <c r="H356" s="10" t="s">
        <v>56</v>
      </c>
      <c r="I356" s="10" t="s">
        <v>50</v>
      </c>
      <c r="J356" s="15" t="str">
        <f>'Hoja 1 - Área y fuentes'!M20</f>
        <v>Sustituir por IDEAM u otra fuente oficial</v>
      </c>
      <c r="K356" s="10" t="s">
        <v>165</v>
      </c>
      <c r="L356" s="15" t="str">
        <f>IF(G356="","FALTANTE",IF(G356&lt;0,"NEGATIVO",IF(H356&lt;&gt;"mm","UNIDAD",IF(COUNTIF($A$20:A356,A356)&gt;1,"DUPLICADO","OK"))))</f>
        <v>OK</v>
      </c>
    </row>
    <row r="357" spans="1:12" ht="22.8">
      <c r="A357" s="13">
        <v>39845</v>
      </c>
      <c r="B357" s="15">
        <v>2009</v>
      </c>
      <c r="C357" s="15">
        <v>2</v>
      </c>
      <c r="D357" s="15" t="s">
        <v>141</v>
      </c>
      <c r="E357" s="15" t="str">
        <f>'Hoja 1 - Área y fuentes'!C20</f>
        <v>Serie sintética de capacitación</v>
      </c>
      <c r="F357" s="15" t="str">
        <f>'Hoja 1 - Área y fuentes'!D20</f>
        <v>DID-001</v>
      </c>
      <c r="G357" s="12">
        <v>70.400000000000006</v>
      </c>
      <c r="H357" s="10" t="s">
        <v>56</v>
      </c>
      <c r="I357" s="10" t="s">
        <v>50</v>
      </c>
      <c r="J357" s="15" t="str">
        <f>'Hoja 1 - Área y fuentes'!M20</f>
        <v>Sustituir por IDEAM u otra fuente oficial</v>
      </c>
      <c r="K357" s="10" t="s">
        <v>165</v>
      </c>
      <c r="L357" s="15" t="str">
        <f>IF(G357="","FALTANTE",IF(G357&lt;0,"NEGATIVO",IF(H357&lt;&gt;"mm","UNIDAD",IF(COUNTIF($A$20:A357,A357)&gt;1,"DUPLICADO","OK"))))</f>
        <v>OK</v>
      </c>
    </row>
    <row r="358" spans="1:12" ht="22.8">
      <c r="A358" s="13">
        <v>39873</v>
      </c>
      <c r="B358" s="15">
        <v>2009</v>
      </c>
      <c r="C358" s="15">
        <v>3</v>
      </c>
      <c r="D358" s="15" t="s">
        <v>148</v>
      </c>
      <c r="E358" s="15" t="str">
        <f>'Hoja 1 - Área y fuentes'!C20</f>
        <v>Serie sintética de capacitación</v>
      </c>
      <c r="F358" s="15" t="str">
        <f>'Hoja 1 - Área y fuentes'!D20</f>
        <v>DID-001</v>
      </c>
      <c r="G358" s="12">
        <v>102.1</v>
      </c>
      <c r="H358" s="10" t="s">
        <v>56</v>
      </c>
      <c r="I358" s="10" t="s">
        <v>50</v>
      </c>
      <c r="J358" s="15" t="str">
        <f>'Hoja 1 - Área y fuentes'!M20</f>
        <v>Sustituir por IDEAM u otra fuente oficial</v>
      </c>
      <c r="K358" s="10" t="s">
        <v>165</v>
      </c>
      <c r="L358" s="15" t="str">
        <f>IF(G358="","FALTANTE",IF(G358&lt;0,"NEGATIVO",IF(H358&lt;&gt;"mm","UNIDAD",IF(COUNTIF($A$20:A358,A358)&gt;1,"DUPLICADO","OK"))))</f>
        <v>OK</v>
      </c>
    </row>
    <row r="359" spans="1:12" ht="22.8">
      <c r="A359" s="13">
        <v>39904</v>
      </c>
      <c r="B359" s="15">
        <v>2009</v>
      </c>
      <c r="C359" s="15">
        <v>4</v>
      </c>
      <c r="D359" s="15" t="s">
        <v>149</v>
      </c>
      <c r="E359" s="15" t="str">
        <f>'Hoja 1 - Área y fuentes'!C20</f>
        <v>Serie sintética de capacitación</v>
      </c>
      <c r="F359" s="15" t="str">
        <f>'Hoja 1 - Área y fuentes'!D20</f>
        <v>DID-001</v>
      </c>
      <c r="G359" s="12">
        <v>133.69999999999999</v>
      </c>
      <c r="H359" s="10" t="s">
        <v>56</v>
      </c>
      <c r="I359" s="10" t="s">
        <v>50</v>
      </c>
      <c r="J359" s="15" t="str">
        <f>'Hoja 1 - Área y fuentes'!M20</f>
        <v>Sustituir por IDEAM u otra fuente oficial</v>
      </c>
      <c r="K359" s="10" t="s">
        <v>165</v>
      </c>
      <c r="L359" s="15" t="str">
        <f>IF(G359="","FALTANTE",IF(G359&lt;0,"NEGATIVO",IF(H359&lt;&gt;"mm","UNIDAD",IF(COUNTIF($A$20:A359,A359)&gt;1,"DUPLICADO","OK"))))</f>
        <v>OK</v>
      </c>
    </row>
    <row r="360" spans="1:12" ht="22.8">
      <c r="A360" s="13">
        <v>39934</v>
      </c>
      <c r="B360" s="15">
        <v>2009</v>
      </c>
      <c r="C360" s="15">
        <v>5</v>
      </c>
      <c r="D360" s="15" t="s">
        <v>151</v>
      </c>
      <c r="E360" s="15" t="str">
        <f>'Hoja 1 - Área y fuentes'!C20</f>
        <v>Serie sintética de capacitación</v>
      </c>
      <c r="F360" s="15" t="str">
        <f>'Hoja 1 - Área y fuentes'!D20</f>
        <v>DID-001</v>
      </c>
      <c r="G360" s="12">
        <v>127</v>
      </c>
      <c r="H360" s="10" t="s">
        <v>56</v>
      </c>
      <c r="I360" s="10" t="s">
        <v>50</v>
      </c>
      <c r="J360" s="15" t="str">
        <f>'Hoja 1 - Área y fuentes'!M20</f>
        <v>Sustituir por IDEAM u otra fuente oficial</v>
      </c>
      <c r="K360" s="10" t="s">
        <v>165</v>
      </c>
      <c r="L360" s="15" t="str">
        <f>IF(G360="","FALTANTE",IF(G360&lt;0,"NEGATIVO",IF(H360&lt;&gt;"mm","UNIDAD",IF(COUNTIF($A$20:A360,A360)&gt;1,"DUPLICADO","OK"))))</f>
        <v>OK</v>
      </c>
    </row>
    <row r="361" spans="1:12" ht="22.8">
      <c r="A361" s="13">
        <v>39965</v>
      </c>
      <c r="B361" s="15">
        <v>2009</v>
      </c>
      <c r="C361" s="15">
        <v>6</v>
      </c>
      <c r="D361" s="15" t="s">
        <v>152</v>
      </c>
      <c r="E361" s="15" t="str">
        <f>'Hoja 1 - Área y fuentes'!C20</f>
        <v>Serie sintética de capacitación</v>
      </c>
      <c r="F361" s="15" t="str">
        <f>'Hoja 1 - Área y fuentes'!D20</f>
        <v>DID-001</v>
      </c>
      <c r="G361" s="12">
        <v>80.7</v>
      </c>
      <c r="H361" s="10" t="s">
        <v>56</v>
      </c>
      <c r="I361" s="10" t="s">
        <v>50</v>
      </c>
      <c r="J361" s="15" t="str">
        <f>'Hoja 1 - Área y fuentes'!M20</f>
        <v>Sustituir por IDEAM u otra fuente oficial</v>
      </c>
      <c r="K361" s="10" t="s">
        <v>165</v>
      </c>
      <c r="L361" s="15" t="str">
        <f>IF(G361="","FALTANTE",IF(G361&lt;0,"NEGATIVO",IF(H361&lt;&gt;"mm","UNIDAD",IF(COUNTIF($A$20:A361,A361)&gt;1,"DUPLICADO","OK"))))</f>
        <v>OK</v>
      </c>
    </row>
    <row r="362" spans="1:12" ht="22.8">
      <c r="A362" s="13">
        <v>39995</v>
      </c>
      <c r="B362" s="15">
        <v>2009</v>
      </c>
      <c r="C362" s="15">
        <v>7</v>
      </c>
      <c r="D362" s="15" t="s">
        <v>153</v>
      </c>
      <c r="E362" s="15" t="str">
        <f>'Hoja 1 - Área y fuentes'!C20</f>
        <v>Serie sintética de capacitación</v>
      </c>
      <c r="F362" s="15" t="str">
        <f>'Hoja 1 - Área y fuentes'!D20</f>
        <v>DID-001</v>
      </c>
      <c r="G362" s="12">
        <v>61.8</v>
      </c>
      <c r="H362" s="10" t="s">
        <v>56</v>
      </c>
      <c r="I362" s="10" t="s">
        <v>50</v>
      </c>
      <c r="J362" s="15" t="str">
        <f>'Hoja 1 - Área y fuentes'!M20</f>
        <v>Sustituir por IDEAM u otra fuente oficial</v>
      </c>
      <c r="K362" s="10" t="s">
        <v>165</v>
      </c>
      <c r="L362" s="15" t="str">
        <f>IF(G362="","FALTANTE",IF(G362&lt;0,"NEGATIVO",IF(H362&lt;&gt;"mm","UNIDAD",IF(COUNTIF($A$20:A362,A362)&gt;1,"DUPLICADO","OK"))))</f>
        <v>OK</v>
      </c>
    </row>
    <row r="363" spans="1:12" ht="22.8">
      <c r="A363" s="13">
        <v>40026</v>
      </c>
      <c r="B363" s="15">
        <v>2009</v>
      </c>
      <c r="C363" s="15">
        <v>8</v>
      </c>
      <c r="D363" s="15" t="s">
        <v>154</v>
      </c>
      <c r="E363" s="15" t="str">
        <f>'Hoja 1 - Área y fuentes'!C20</f>
        <v>Serie sintética de capacitación</v>
      </c>
      <c r="F363" s="15" t="str">
        <f>'Hoja 1 - Área y fuentes'!D20</f>
        <v>DID-001</v>
      </c>
      <c r="G363" s="12">
        <v>65.7</v>
      </c>
      <c r="H363" s="10" t="s">
        <v>56</v>
      </c>
      <c r="I363" s="10" t="s">
        <v>50</v>
      </c>
      <c r="J363" s="15" t="str">
        <f>'Hoja 1 - Área y fuentes'!M20</f>
        <v>Sustituir por IDEAM u otra fuente oficial</v>
      </c>
      <c r="K363" s="10" t="s">
        <v>165</v>
      </c>
      <c r="L363" s="15" t="str">
        <f>IF(G363="","FALTANTE",IF(G363&lt;0,"NEGATIVO",IF(H363&lt;&gt;"mm","UNIDAD",IF(COUNTIF($A$20:A363,A363)&gt;1,"DUPLICADO","OK"))))</f>
        <v>OK</v>
      </c>
    </row>
    <row r="364" spans="1:12" ht="22.8">
      <c r="A364" s="13">
        <v>40057</v>
      </c>
      <c r="B364" s="15">
        <v>2009</v>
      </c>
      <c r="C364" s="15">
        <v>9</v>
      </c>
      <c r="D364" s="15" t="s">
        <v>155</v>
      </c>
      <c r="E364" s="15" t="str">
        <f>'Hoja 1 - Área y fuentes'!C20</f>
        <v>Serie sintética de capacitación</v>
      </c>
      <c r="F364" s="15" t="str">
        <f>'Hoja 1 - Área y fuentes'!D20</f>
        <v>DID-001</v>
      </c>
      <c r="G364" s="12">
        <v>113.5</v>
      </c>
      <c r="H364" s="10" t="s">
        <v>56</v>
      </c>
      <c r="I364" s="10" t="s">
        <v>50</v>
      </c>
      <c r="J364" s="15" t="str">
        <f>'Hoja 1 - Área y fuentes'!M20</f>
        <v>Sustituir por IDEAM u otra fuente oficial</v>
      </c>
      <c r="K364" s="10" t="s">
        <v>165</v>
      </c>
      <c r="L364" s="15" t="str">
        <f>IF(G364="","FALTANTE",IF(G364&lt;0,"NEGATIVO",IF(H364&lt;&gt;"mm","UNIDAD",IF(COUNTIF($A$20:A364,A364)&gt;1,"DUPLICADO","OK"))))</f>
        <v>OK</v>
      </c>
    </row>
    <row r="365" spans="1:12" ht="22.8">
      <c r="A365" s="13">
        <v>40087</v>
      </c>
      <c r="B365" s="15">
        <v>2009</v>
      </c>
      <c r="C365" s="15">
        <v>10</v>
      </c>
      <c r="D365" s="15" t="s">
        <v>157</v>
      </c>
      <c r="E365" s="15" t="str">
        <f>'Hoja 1 - Área y fuentes'!C20</f>
        <v>Serie sintética de capacitación</v>
      </c>
      <c r="F365" s="15" t="str">
        <f>'Hoja 1 - Área y fuentes'!D20</f>
        <v>DID-001</v>
      </c>
      <c r="G365" s="12">
        <v>146.6</v>
      </c>
      <c r="H365" s="10" t="s">
        <v>56</v>
      </c>
      <c r="I365" s="10" t="s">
        <v>50</v>
      </c>
      <c r="J365" s="15" t="str">
        <f>'Hoja 1 - Área y fuentes'!M20</f>
        <v>Sustituir por IDEAM u otra fuente oficial</v>
      </c>
      <c r="K365" s="10" t="s">
        <v>165</v>
      </c>
      <c r="L365" s="15" t="str">
        <f>IF(G365="","FALTANTE",IF(G365&lt;0,"NEGATIVO",IF(H365&lt;&gt;"mm","UNIDAD",IF(COUNTIF($A$20:A365,A365)&gt;1,"DUPLICADO","OK"))))</f>
        <v>OK</v>
      </c>
    </row>
    <row r="366" spans="1:12" ht="22.8">
      <c r="A366" s="13">
        <v>40118</v>
      </c>
      <c r="B366" s="15">
        <v>2009</v>
      </c>
      <c r="C366" s="15">
        <v>11</v>
      </c>
      <c r="D366" s="15" t="s">
        <v>158</v>
      </c>
      <c r="E366" s="15" t="str">
        <f>'Hoja 1 - Área y fuentes'!C20</f>
        <v>Serie sintética de capacitación</v>
      </c>
      <c r="F366" s="15" t="str">
        <f>'Hoja 1 - Área y fuentes'!D20</f>
        <v>DID-001</v>
      </c>
      <c r="G366" s="12">
        <v>116.3</v>
      </c>
      <c r="H366" s="10" t="s">
        <v>56</v>
      </c>
      <c r="I366" s="10" t="s">
        <v>50</v>
      </c>
      <c r="J366" s="15" t="str">
        <f>'Hoja 1 - Área y fuentes'!M20</f>
        <v>Sustituir por IDEAM u otra fuente oficial</v>
      </c>
      <c r="K366" s="10" t="s">
        <v>165</v>
      </c>
      <c r="L366" s="15" t="str">
        <f>IF(G366="","FALTANTE",IF(G366&lt;0,"NEGATIVO",IF(H366&lt;&gt;"mm","UNIDAD",IF(COUNTIF($A$20:A366,A366)&gt;1,"DUPLICADO","OK"))))</f>
        <v>OK</v>
      </c>
    </row>
    <row r="367" spans="1:12" ht="22.8">
      <c r="A367" s="13">
        <v>40148</v>
      </c>
      <c r="B367" s="15">
        <v>2009</v>
      </c>
      <c r="C367" s="15">
        <v>12</v>
      </c>
      <c r="D367" s="15" t="s">
        <v>164</v>
      </c>
      <c r="E367" s="15" t="str">
        <f>'Hoja 1 - Área y fuentes'!C20</f>
        <v>Serie sintética de capacitación</v>
      </c>
      <c r="F367" s="15" t="str">
        <f>'Hoja 1 - Área y fuentes'!D20</f>
        <v>DID-001</v>
      </c>
      <c r="G367" s="12">
        <v>73.599999999999994</v>
      </c>
      <c r="H367" s="10" t="s">
        <v>56</v>
      </c>
      <c r="I367" s="10" t="s">
        <v>50</v>
      </c>
      <c r="J367" s="15" t="str">
        <f>'Hoja 1 - Área y fuentes'!M20</f>
        <v>Sustituir por IDEAM u otra fuente oficial</v>
      </c>
      <c r="K367" s="10" t="s">
        <v>165</v>
      </c>
      <c r="L367" s="15" t="str">
        <f>IF(G367="","FALTANTE",IF(G367&lt;0,"NEGATIVO",IF(H367&lt;&gt;"mm","UNIDAD",IF(COUNTIF($A$20:A367,A367)&gt;1,"DUPLICADO","OK"))))</f>
        <v>OK</v>
      </c>
    </row>
    <row r="368" spans="1:12" ht="22.8">
      <c r="A368" s="13">
        <v>40179</v>
      </c>
      <c r="B368" s="15">
        <v>2010</v>
      </c>
      <c r="C368" s="15">
        <v>1</v>
      </c>
      <c r="D368" s="15" t="s">
        <v>134</v>
      </c>
      <c r="E368" s="15" t="str">
        <f>'Hoja 1 - Área y fuentes'!C20</f>
        <v>Serie sintética de capacitación</v>
      </c>
      <c r="F368" s="15" t="str">
        <f>'Hoja 1 - Área y fuentes'!D20</f>
        <v>DID-001</v>
      </c>
      <c r="G368" s="12">
        <v>64.2</v>
      </c>
      <c r="H368" s="10" t="s">
        <v>56</v>
      </c>
      <c r="I368" s="10" t="s">
        <v>50</v>
      </c>
      <c r="J368" s="15" t="str">
        <f>'Hoja 1 - Área y fuentes'!M20</f>
        <v>Sustituir por IDEAM u otra fuente oficial</v>
      </c>
      <c r="K368" s="10" t="s">
        <v>165</v>
      </c>
      <c r="L368" s="15" t="str">
        <f>IF(G368="","FALTANTE",IF(G368&lt;0,"NEGATIVO",IF(H368&lt;&gt;"mm","UNIDAD",IF(COUNTIF($A$20:A368,A368)&gt;1,"DUPLICADO","OK"))))</f>
        <v>OK</v>
      </c>
    </row>
    <row r="369" spans="1:12" ht="22.8">
      <c r="A369" s="13">
        <v>40210</v>
      </c>
      <c r="B369" s="15">
        <v>2010</v>
      </c>
      <c r="C369" s="15">
        <v>2</v>
      </c>
      <c r="D369" s="15" t="s">
        <v>141</v>
      </c>
      <c r="E369" s="15" t="str">
        <f>'Hoja 1 - Área y fuentes'!C20</f>
        <v>Serie sintética de capacitación</v>
      </c>
      <c r="F369" s="15" t="str">
        <f>'Hoja 1 - Área y fuentes'!D20</f>
        <v>DID-001</v>
      </c>
      <c r="G369" s="12">
        <v>76.3</v>
      </c>
      <c r="H369" s="10" t="s">
        <v>56</v>
      </c>
      <c r="I369" s="10" t="s">
        <v>50</v>
      </c>
      <c r="J369" s="15" t="str">
        <f>'Hoja 1 - Área y fuentes'!M20</f>
        <v>Sustituir por IDEAM u otra fuente oficial</v>
      </c>
      <c r="K369" s="10" t="s">
        <v>165</v>
      </c>
      <c r="L369" s="15" t="str">
        <f>IF(G369="","FALTANTE",IF(G369&lt;0,"NEGATIVO",IF(H369&lt;&gt;"mm","UNIDAD",IF(COUNTIF($A$20:A369,A369)&gt;1,"DUPLICADO","OK"))))</f>
        <v>OK</v>
      </c>
    </row>
    <row r="370" spans="1:12" ht="22.8">
      <c r="A370" s="13">
        <v>40238</v>
      </c>
      <c r="B370" s="15">
        <v>2010</v>
      </c>
      <c r="C370" s="15">
        <v>3</v>
      </c>
      <c r="D370" s="15" t="s">
        <v>148</v>
      </c>
      <c r="E370" s="15" t="str">
        <f>'Hoja 1 - Área y fuentes'!C20</f>
        <v>Serie sintética de capacitación</v>
      </c>
      <c r="F370" s="15" t="str">
        <f>'Hoja 1 - Área y fuentes'!D20</f>
        <v>DID-001</v>
      </c>
      <c r="G370" s="12">
        <v>118</v>
      </c>
      <c r="H370" s="10" t="s">
        <v>56</v>
      </c>
      <c r="I370" s="10" t="s">
        <v>50</v>
      </c>
      <c r="J370" s="15" t="str">
        <f>'Hoja 1 - Área y fuentes'!M20</f>
        <v>Sustituir por IDEAM u otra fuente oficial</v>
      </c>
      <c r="K370" s="10" t="s">
        <v>165</v>
      </c>
      <c r="L370" s="15" t="str">
        <f>IF(G370="","FALTANTE",IF(G370&lt;0,"NEGATIVO",IF(H370&lt;&gt;"mm","UNIDAD",IF(COUNTIF($A$20:A370,A370)&gt;1,"DUPLICADO","OK"))))</f>
        <v>OK</v>
      </c>
    </row>
    <row r="371" spans="1:12" ht="22.8">
      <c r="A371" s="13">
        <v>40269</v>
      </c>
      <c r="B371" s="15">
        <v>2010</v>
      </c>
      <c r="C371" s="15">
        <v>4</v>
      </c>
      <c r="D371" s="15" t="s">
        <v>149</v>
      </c>
      <c r="E371" s="15" t="str">
        <f>'Hoja 1 - Área y fuentes'!C20</f>
        <v>Serie sintética de capacitación</v>
      </c>
      <c r="F371" s="15" t="str">
        <f>'Hoja 1 - Área y fuentes'!D20</f>
        <v>DID-001</v>
      </c>
      <c r="G371" s="12">
        <v>163.4</v>
      </c>
      <c r="H371" s="10" t="s">
        <v>56</v>
      </c>
      <c r="I371" s="10" t="s">
        <v>50</v>
      </c>
      <c r="J371" s="15" t="str">
        <f>'Hoja 1 - Área y fuentes'!M20</f>
        <v>Sustituir por IDEAM u otra fuente oficial</v>
      </c>
      <c r="K371" s="10" t="s">
        <v>165</v>
      </c>
      <c r="L371" s="15" t="str">
        <f>IF(G371="","FALTANTE",IF(G371&lt;0,"NEGATIVO",IF(H371&lt;&gt;"mm","UNIDAD",IF(COUNTIF($A$20:A371,A371)&gt;1,"DUPLICADO","OK"))))</f>
        <v>OK</v>
      </c>
    </row>
    <row r="372" spans="1:12" ht="22.8">
      <c r="A372" s="13">
        <v>40299</v>
      </c>
      <c r="B372" s="15">
        <v>2010</v>
      </c>
      <c r="C372" s="15">
        <v>5</v>
      </c>
      <c r="D372" s="15" t="s">
        <v>151</v>
      </c>
      <c r="E372" s="15" t="str">
        <f>'Hoja 1 - Área y fuentes'!C20</f>
        <v>Serie sintética de capacitación</v>
      </c>
      <c r="F372" s="15" t="str">
        <f>'Hoja 1 - Área y fuentes'!D20</f>
        <v>DID-001</v>
      </c>
      <c r="G372" s="12">
        <v>139.30000000000001</v>
      </c>
      <c r="H372" s="10" t="s">
        <v>56</v>
      </c>
      <c r="I372" s="10" t="s">
        <v>50</v>
      </c>
      <c r="J372" s="15" t="str">
        <f>'Hoja 1 - Área y fuentes'!M20</f>
        <v>Sustituir por IDEAM u otra fuente oficial</v>
      </c>
      <c r="K372" s="10" t="s">
        <v>165</v>
      </c>
      <c r="L372" s="15" t="str">
        <f>IF(G372="","FALTANTE",IF(G372&lt;0,"NEGATIVO",IF(H372&lt;&gt;"mm","UNIDAD",IF(COUNTIF($A$20:A372,A372)&gt;1,"DUPLICADO","OK"))))</f>
        <v>OK</v>
      </c>
    </row>
    <row r="373" spans="1:12" ht="22.8">
      <c r="A373" s="13">
        <v>40330</v>
      </c>
      <c r="B373" s="15">
        <v>2010</v>
      </c>
      <c r="C373" s="15">
        <v>6</v>
      </c>
      <c r="D373" s="15" t="s">
        <v>152</v>
      </c>
      <c r="E373" s="15" t="str">
        <f>'Hoja 1 - Área y fuentes'!C20</f>
        <v>Serie sintética de capacitación</v>
      </c>
      <c r="F373" s="15" t="str">
        <f>'Hoja 1 - Área y fuentes'!D20</f>
        <v>DID-001</v>
      </c>
      <c r="G373" s="12">
        <v>85.1</v>
      </c>
      <c r="H373" s="10" t="s">
        <v>56</v>
      </c>
      <c r="I373" s="10" t="s">
        <v>50</v>
      </c>
      <c r="J373" s="15" t="str">
        <f>'Hoja 1 - Área y fuentes'!M20</f>
        <v>Sustituir por IDEAM u otra fuente oficial</v>
      </c>
      <c r="K373" s="10" t="s">
        <v>165</v>
      </c>
      <c r="L373" s="15" t="str">
        <f>IF(G373="","FALTANTE",IF(G373&lt;0,"NEGATIVO",IF(H373&lt;&gt;"mm","UNIDAD",IF(COUNTIF($A$20:A373,A373)&gt;1,"DUPLICADO","OK"))))</f>
        <v>OK</v>
      </c>
    </row>
    <row r="374" spans="1:12" ht="22.8">
      <c r="A374" s="13">
        <v>40360</v>
      </c>
      <c r="B374" s="15">
        <v>2010</v>
      </c>
      <c r="C374" s="15">
        <v>7</v>
      </c>
      <c r="D374" s="15" t="s">
        <v>153</v>
      </c>
      <c r="E374" s="15" t="str">
        <f>'Hoja 1 - Área y fuentes'!C20</f>
        <v>Serie sintética de capacitación</v>
      </c>
      <c r="F374" s="15" t="str">
        <f>'Hoja 1 - Área y fuentes'!D20</f>
        <v>DID-001</v>
      </c>
      <c r="G374" s="12">
        <v>74.3</v>
      </c>
      <c r="H374" s="10" t="s">
        <v>56</v>
      </c>
      <c r="I374" s="10" t="s">
        <v>50</v>
      </c>
      <c r="J374" s="15" t="str">
        <f>'Hoja 1 - Área y fuentes'!M20</f>
        <v>Sustituir por IDEAM u otra fuente oficial</v>
      </c>
      <c r="K374" s="10" t="s">
        <v>165</v>
      </c>
      <c r="L374" s="15" t="str">
        <f>IF(G374="","FALTANTE",IF(G374&lt;0,"NEGATIVO",IF(H374&lt;&gt;"mm","UNIDAD",IF(COUNTIF($A$20:A374,A374)&gt;1,"DUPLICADO","OK"))))</f>
        <v>OK</v>
      </c>
    </row>
    <row r="375" spans="1:12" ht="22.8">
      <c r="A375" s="13">
        <v>40391</v>
      </c>
      <c r="B375" s="15">
        <v>2010</v>
      </c>
      <c r="C375" s="15">
        <v>8</v>
      </c>
      <c r="D375" s="15" t="s">
        <v>154</v>
      </c>
      <c r="E375" s="15" t="str">
        <f>'Hoja 1 - Área y fuentes'!C20</f>
        <v>Serie sintética de capacitación</v>
      </c>
      <c r="F375" s="15" t="str">
        <f>'Hoja 1 - Área y fuentes'!D20</f>
        <v>DID-001</v>
      </c>
      <c r="G375" s="12">
        <v>80.099999999999994</v>
      </c>
      <c r="H375" s="10" t="s">
        <v>56</v>
      </c>
      <c r="I375" s="10" t="s">
        <v>50</v>
      </c>
      <c r="J375" s="15" t="str">
        <f>'Hoja 1 - Área y fuentes'!M20</f>
        <v>Sustituir por IDEAM u otra fuente oficial</v>
      </c>
      <c r="K375" s="10" t="s">
        <v>165</v>
      </c>
      <c r="L375" s="15" t="str">
        <f>IF(G375="","FALTANTE",IF(G375&lt;0,"NEGATIVO",IF(H375&lt;&gt;"mm","UNIDAD",IF(COUNTIF($A$20:A375,A375)&gt;1,"DUPLICADO","OK"))))</f>
        <v>OK</v>
      </c>
    </row>
    <row r="376" spans="1:12" ht="22.8">
      <c r="A376" s="13">
        <v>40422</v>
      </c>
      <c r="B376" s="15">
        <v>2010</v>
      </c>
      <c r="C376" s="15">
        <v>9</v>
      </c>
      <c r="D376" s="15" t="s">
        <v>155</v>
      </c>
      <c r="E376" s="15" t="str">
        <f>'Hoja 1 - Área y fuentes'!C20</f>
        <v>Serie sintética de capacitación</v>
      </c>
      <c r="F376" s="15" t="str">
        <f>'Hoja 1 - Área y fuentes'!D20</f>
        <v>DID-001</v>
      </c>
      <c r="G376" s="12">
        <v>121.1</v>
      </c>
      <c r="H376" s="10" t="s">
        <v>56</v>
      </c>
      <c r="I376" s="10" t="s">
        <v>50</v>
      </c>
      <c r="J376" s="15" t="str">
        <f>'Hoja 1 - Área y fuentes'!M20</f>
        <v>Sustituir por IDEAM u otra fuente oficial</v>
      </c>
      <c r="K376" s="10" t="s">
        <v>165</v>
      </c>
      <c r="L376" s="15" t="str">
        <f>IF(G376="","FALTANTE",IF(G376&lt;0,"NEGATIVO",IF(H376&lt;&gt;"mm","UNIDAD",IF(COUNTIF($A$20:A376,A376)&gt;1,"DUPLICADO","OK"))))</f>
        <v>OK</v>
      </c>
    </row>
    <row r="377" spans="1:12" ht="22.8">
      <c r="A377" s="13">
        <v>40452</v>
      </c>
      <c r="B377" s="15">
        <v>2010</v>
      </c>
      <c r="C377" s="15">
        <v>10</v>
      </c>
      <c r="D377" s="15" t="s">
        <v>157</v>
      </c>
      <c r="E377" s="15" t="str">
        <f>'Hoja 1 - Área y fuentes'!C20</f>
        <v>Serie sintética de capacitación</v>
      </c>
      <c r="F377" s="15" t="str">
        <f>'Hoja 1 - Área y fuentes'!D20</f>
        <v>DID-001</v>
      </c>
      <c r="G377" s="12">
        <v>158.5</v>
      </c>
      <c r="H377" s="10" t="s">
        <v>56</v>
      </c>
      <c r="I377" s="10" t="s">
        <v>50</v>
      </c>
      <c r="J377" s="15" t="str">
        <f>'Hoja 1 - Área y fuentes'!M20</f>
        <v>Sustituir por IDEAM u otra fuente oficial</v>
      </c>
      <c r="K377" s="10" t="s">
        <v>165</v>
      </c>
      <c r="L377" s="15" t="str">
        <f>IF(G377="","FALTANTE",IF(G377&lt;0,"NEGATIVO",IF(H377&lt;&gt;"mm","UNIDAD",IF(COUNTIF($A$20:A377,A377)&gt;1,"DUPLICADO","OK"))))</f>
        <v>OK</v>
      </c>
    </row>
    <row r="378" spans="1:12" ht="22.8">
      <c r="A378" s="13">
        <v>40483</v>
      </c>
      <c r="B378" s="15">
        <v>2010</v>
      </c>
      <c r="C378" s="15">
        <v>11</v>
      </c>
      <c r="D378" s="15" t="s">
        <v>158</v>
      </c>
      <c r="E378" s="15" t="str">
        <f>'Hoja 1 - Área y fuentes'!C20</f>
        <v>Serie sintética de capacitación</v>
      </c>
      <c r="F378" s="15" t="str">
        <f>'Hoja 1 - Área y fuentes'!D20</f>
        <v>DID-001</v>
      </c>
      <c r="G378" s="12">
        <v>141.19999999999999</v>
      </c>
      <c r="H378" s="10" t="s">
        <v>56</v>
      </c>
      <c r="I378" s="10" t="s">
        <v>50</v>
      </c>
      <c r="J378" s="15" t="str">
        <f>'Hoja 1 - Área y fuentes'!M20</f>
        <v>Sustituir por IDEAM u otra fuente oficial</v>
      </c>
      <c r="K378" s="10" t="s">
        <v>165</v>
      </c>
      <c r="L378" s="15" t="str">
        <f>IF(G378="","FALTANTE",IF(G378&lt;0,"NEGATIVO",IF(H378&lt;&gt;"mm","UNIDAD",IF(COUNTIF($A$20:A378,A378)&gt;1,"DUPLICADO","OK"))))</f>
        <v>OK</v>
      </c>
    </row>
    <row r="379" spans="1:12" ht="22.8">
      <c r="A379" s="13">
        <v>40513</v>
      </c>
      <c r="B379" s="15">
        <v>2010</v>
      </c>
      <c r="C379" s="15">
        <v>12</v>
      </c>
      <c r="D379" s="15" t="s">
        <v>164</v>
      </c>
      <c r="E379" s="15" t="str">
        <f>'Hoja 1 - Área y fuentes'!C20</f>
        <v>Serie sintética de capacitación</v>
      </c>
      <c r="F379" s="15" t="str">
        <f>'Hoja 1 - Área y fuentes'!D20</f>
        <v>DID-001</v>
      </c>
      <c r="G379" s="12">
        <v>86</v>
      </c>
      <c r="H379" s="10" t="s">
        <v>56</v>
      </c>
      <c r="I379" s="10" t="s">
        <v>50</v>
      </c>
      <c r="J379" s="15" t="str">
        <f>'Hoja 1 - Área y fuentes'!M20</f>
        <v>Sustituir por IDEAM u otra fuente oficial</v>
      </c>
      <c r="K379" s="10" t="s">
        <v>165</v>
      </c>
      <c r="L379" s="15" t="str">
        <f>IF(G379="","FALTANTE",IF(G379&lt;0,"NEGATIVO",IF(H379&lt;&gt;"mm","UNIDAD",IF(COUNTIF($A$20:A379,A379)&gt;1,"DUPLICADO","OK"))))</f>
        <v>OK</v>
      </c>
    </row>
  </sheetData>
  <mergeCells count="8">
    <mergeCell ref="N22:Q22"/>
    <mergeCell ref="A17:L17"/>
    <mergeCell ref="S42:Y46"/>
    <mergeCell ref="A1:Y1"/>
    <mergeCell ref="A2:Y3"/>
    <mergeCell ref="A6:L6"/>
    <mergeCell ref="A12:L14"/>
    <mergeCell ref="N6:Q6"/>
  </mergeCells>
  <conditionalFormatting sqref="L8">
    <cfRule type="containsText" dxfId="23" priority="1" operator="containsText" text="APTA"/>
    <cfRule type="containsText" dxfId="22" priority="2" operator="containsText" text="REVISAR"/>
  </conditionalFormatting>
  <conditionalFormatting sqref="L20:L379">
    <cfRule type="containsText" dxfId="21" priority="9" operator="containsText" text="OK"/>
    <cfRule type="containsText" dxfId="20" priority="11" operator="containsText" text="REVISAR"/>
    <cfRule type="containsText" dxfId="19" priority="12" operator="containsText" text="FALTANTE"/>
    <cfRule type="containsText" dxfId="18" priority="13" operator="containsText" text="NEGATIVO"/>
    <cfRule type="containsText" dxfId="17" priority="14" operator="containsText" text="DUPLICADO"/>
  </conditionalFormatting>
  <conditionalFormatting sqref="Q24:Q53">
    <cfRule type="containsText" dxfId="16" priority="3" operator="containsText" text="OK"/>
    <cfRule type="containsText" dxfId="15" priority="5" operator="containsText" text="REVISAR"/>
    <cfRule type="containsText" dxfId="14" priority="6" operator="containsText" text="FALTANTE"/>
    <cfRule type="containsText" dxfId="13" priority="7" operator="containsText" text="NEGATIVO"/>
    <cfRule type="containsText" dxfId="12" priority="8" operator="containsText" text="DUPLICADO"/>
  </conditionalFormatting>
  <dataValidations count="2">
    <dataValidation type="list" sqref="H20:H379" xr:uid="{00000000-0002-0000-0100-000000000000}">
      <formula1>"mm,cm,m"</formula1>
    </dataValidation>
    <dataValidation type="list" sqref="I20:I379" xr:uid="{00000000-0002-0000-0100-000001000000}">
      <formula1>"Validado,Estimado,Pendiente,Condicionado,No utilizable,Ejemplo didáctico"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11"/>
  <sheetViews>
    <sheetView showGridLines="0" tabSelected="1" workbookViewId="0">
      <selection activeCell="F11" sqref="F11"/>
    </sheetView>
  </sheetViews>
  <sheetFormatPr baseColWidth="10" defaultColWidth="8.796875" defaultRowHeight="13.8"/>
  <cols>
    <col min="1" max="3" width="15" customWidth="1"/>
    <col min="4" max="4" width="10" customWidth="1"/>
    <col min="5" max="5" width="13" customWidth="1"/>
    <col min="6" max="7" width="17" customWidth="1"/>
    <col min="8" max="8" width="18" customWidth="1"/>
    <col min="9" max="9" width="13" customWidth="1"/>
    <col min="10" max="10" width="10" customWidth="1"/>
    <col min="11" max="11" width="22" customWidth="1"/>
    <col min="12" max="12" width="25" customWidth="1"/>
    <col min="13" max="13" width="31" customWidth="1"/>
    <col min="14" max="14" width="13" customWidth="1"/>
    <col min="15" max="15" width="3" customWidth="1"/>
    <col min="16" max="16" width="14" customWidth="1"/>
    <col min="17" max="17" width="15" customWidth="1"/>
    <col min="18" max="18" width="19" customWidth="1"/>
    <col min="19" max="19" width="20" customWidth="1"/>
    <col min="20" max="20" width="13" customWidth="1"/>
    <col min="21" max="21" width="3" customWidth="1"/>
    <col min="22" max="22" width="15" customWidth="1"/>
    <col min="23" max="26" width="14" customWidth="1"/>
  </cols>
  <sheetData>
    <row r="1" spans="1:26" ht="30" customHeight="1">
      <c r="A1" s="83" t="s">
        <v>170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5"/>
    </row>
    <row r="2" spans="1:26">
      <c r="A2" s="86" t="s">
        <v>171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8"/>
    </row>
    <row r="3" spans="1:26">
      <c r="A3" s="89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1"/>
    </row>
    <row r="4" spans="1:26" ht="14.4">
      <c r="A4" s="1" t="s">
        <v>2</v>
      </c>
      <c r="B4" s="2" t="s">
        <v>3</v>
      </c>
      <c r="C4" s="3" t="s">
        <v>4</v>
      </c>
      <c r="D4" s="4" t="s">
        <v>5</v>
      </c>
      <c r="E4" s="5" t="s">
        <v>6</v>
      </c>
      <c r="F4" s="6" t="s">
        <v>7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6" spans="1:26" ht="22.05" customHeight="1">
      <c r="A6" s="71" t="s">
        <v>172</v>
      </c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3"/>
      <c r="P6" s="71" t="s">
        <v>173</v>
      </c>
      <c r="Q6" s="72"/>
      <c r="R6" s="72"/>
      <c r="S6" s="72"/>
      <c r="T6" s="73"/>
    </row>
    <row r="7" spans="1:26">
      <c r="A7" s="8" t="s">
        <v>123</v>
      </c>
      <c r="B7" s="8" t="s">
        <v>124</v>
      </c>
      <c r="C7" s="8" t="s">
        <v>123</v>
      </c>
      <c r="D7" s="8" t="s">
        <v>124</v>
      </c>
      <c r="E7" s="8" t="s">
        <v>123</v>
      </c>
      <c r="F7" s="8" t="s">
        <v>124</v>
      </c>
      <c r="G7" s="8" t="s">
        <v>123</v>
      </c>
      <c r="H7" s="8" t="s">
        <v>124</v>
      </c>
      <c r="I7" s="8" t="s">
        <v>123</v>
      </c>
      <c r="J7" s="8" t="s">
        <v>124</v>
      </c>
      <c r="K7" s="8" t="s">
        <v>123</v>
      </c>
      <c r="L7" s="8" t="s">
        <v>124</v>
      </c>
      <c r="M7" s="8" t="s">
        <v>123</v>
      </c>
      <c r="N7" s="8" t="s">
        <v>124</v>
      </c>
      <c r="P7" s="8" t="s">
        <v>174</v>
      </c>
      <c r="Q7" s="8" t="s">
        <v>103</v>
      </c>
      <c r="R7" s="8" t="s">
        <v>175</v>
      </c>
      <c r="S7" s="8" t="s">
        <v>176</v>
      </c>
      <c r="T7" s="8" t="s">
        <v>177</v>
      </c>
      <c r="V7" s="8" t="s">
        <v>103</v>
      </c>
      <c r="W7" s="8" t="s">
        <v>178</v>
      </c>
      <c r="X7" s="8" t="s">
        <v>179</v>
      </c>
      <c r="Y7" s="8" t="s">
        <v>180</v>
      </c>
      <c r="Z7" s="8" t="s">
        <v>181</v>
      </c>
    </row>
    <row r="8" spans="1:26" ht="22.8">
      <c r="A8" s="9" t="s">
        <v>130</v>
      </c>
      <c r="B8" s="9">
        <v>192</v>
      </c>
      <c r="C8" s="9" t="s">
        <v>182</v>
      </c>
      <c r="D8" s="15">
        <f>COUNT(G20:G211)</f>
        <v>192</v>
      </c>
      <c r="E8" s="15" t="s">
        <v>183</v>
      </c>
      <c r="F8" s="15">
        <f>COUNTIF(N20:N211,"&lt;&gt;OK")</f>
        <v>0</v>
      </c>
      <c r="G8" s="15" t="s">
        <v>184</v>
      </c>
      <c r="H8" s="17">
        <f>MIN(I20:I211)</f>
        <v>-0.18057195666683792</v>
      </c>
      <c r="I8" s="17" t="s">
        <v>185</v>
      </c>
      <c r="J8" s="17">
        <f>MAX(I20:I211)</f>
        <v>2.0612117426608623E-2</v>
      </c>
      <c r="K8" s="15" t="s">
        <v>186</v>
      </c>
      <c r="L8" s="18">
        <f>SUM('Hoja 2 - Histórico'!P8:P19)</f>
        <v>1269.7733333333333</v>
      </c>
      <c r="M8" s="15" t="s">
        <v>187</v>
      </c>
      <c r="N8" s="15" t="s">
        <v>188</v>
      </c>
      <c r="P8" s="9" t="s">
        <v>178</v>
      </c>
      <c r="Q8" s="9" t="s">
        <v>189</v>
      </c>
      <c r="R8" s="18">
        <f>SUM('Hoja 2 - Histórico'!P8:P19)</f>
        <v>1269.7733333333333</v>
      </c>
      <c r="S8" s="18">
        <f t="shared" ref="S8:S23" si="0">SUMIFS($G$20:$G$211,$A$20:$A$211,P8,$B$20:$B$211,Q8)</f>
        <v>1295.3</v>
      </c>
      <c r="T8" s="17">
        <f t="shared" ref="T8:T23" si="1">IF(R8=0,"",(S8-R8)/R8)</f>
        <v>2.0103325527915723E-2</v>
      </c>
      <c r="V8" s="9" t="s">
        <v>189</v>
      </c>
      <c r="W8" s="19">
        <f t="shared" ref="W8:Z11" si="2">SUMIFS($G$20:$G$211,$A$20:$A$211,W$7,$B$20:$B$211,$V8)</f>
        <v>1295.3</v>
      </c>
      <c r="X8" s="19">
        <f t="shared" si="2"/>
        <v>1282.6000000000001</v>
      </c>
      <c r="Y8" s="19">
        <f t="shared" si="2"/>
        <v>1257.0999999999999</v>
      </c>
      <c r="Z8" s="19">
        <f t="shared" si="2"/>
        <v>1244.4000000000001</v>
      </c>
    </row>
    <row r="9" spans="1:26" ht="22.8">
      <c r="A9" s="9" t="s">
        <v>147</v>
      </c>
      <c r="B9" s="9" t="s">
        <v>190</v>
      </c>
      <c r="C9" s="9" t="s">
        <v>191</v>
      </c>
      <c r="D9" s="15" t="s">
        <v>56</v>
      </c>
      <c r="E9" s="15" t="s">
        <v>192</v>
      </c>
      <c r="F9" s="15" t="s">
        <v>53</v>
      </c>
      <c r="G9" s="15" t="s">
        <v>193</v>
      </c>
      <c r="H9" s="15" t="s">
        <v>194</v>
      </c>
      <c r="I9" s="15" t="s">
        <v>195</v>
      </c>
      <c r="J9" s="15" t="s">
        <v>54</v>
      </c>
      <c r="K9" s="15" t="s">
        <v>161</v>
      </c>
      <c r="L9" s="15" t="s">
        <v>196</v>
      </c>
      <c r="M9" s="15" t="s">
        <v>197</v>
      </c>
      <c r="N9" s="15" t="s">
        <v>198</v>
      </c>
      <c r="P9" s="9" t="s">
        <v>178</v>
      </c>
      <c r="Q9" s="9" t="s">
        <v>199</v>
      </c>
      <c r="R9" s="18">
        <f>SUM('Hoja 2 - Histórico'!P8:P19)</f>
        <v>1269.7733333333333</v>
      </c>
      <c r="S9" s="18">
        <f t="shared" si="0"/>
        <v>1282.6000000000001</v>
      </c>
      <c r="T9" s="17">
        <f t="shared" si="1"/>
        <v>1.0101540432413259E-2</v>
      </c>
      <c r="V9" s="9" t="s">
        <v>199</v>
      </c>
      <c r="W9" s="19">
        <f t="shared" si="2"/>
        <v>1282.6000000000001</v>
      </c>
      <c r="X9" s="19">
        <f t="shared" si="2"/>
        <v>1244.4000000000001</v>
      </c>
      <c r="Y9" s="19">
        <f t="shared" si="2"/>
        <v>1219.0000000000002</v>
      </c>
      <c r="Z9" s="19">
        <f t="shared" si="2"/>
        <v>1193.5999999999999</v>
      </c>
    </row>
    <row r="10" spans="1:26" ht="34.200000000000003">
      <c r="A10" s="9" t="s">
        <v>200</v>
      </c>
      <c r="B10" s="9" t="s">
        <v>201</v>
      </c>
      <c r="C10" s="9" t="s">
        <v>202</v>
      </c>
      <c r="D10" s="15" t="s">
        <v>203</v>
      </c>
      <c r="E10" s="15" t="s">
        <v>204</v>
      </c>
      <c r="F10" s="15" t="s">
        <v>205</v>
      </c>
      <c r="G10" s="15" t="s">
        <v>206</v>
      </c>
      <c r="H10" s="15" t="s">
        <v>207</v>
      </c>
      <c r="I10" s="15" t="s">
        <v>208</v>
      </c>
      <c r="J10" s="15" t="s">
        <v>209</v>
      </c>
      <c r="K10" s="15" t="s">
        <v>210</v>
      </c>
      <c r="L10" s="15" t="s">
        <v>211</v>
      </c>
      <c r="M10" s="15" t="s">
        <v>133</v>
      </c>
      <c r="N10" s="15" t="str">
        <f>IF(F8=0,"APTA PARA ANÁLISIS","REVISAR")</f>
        <v>APTA PARA ANÁLISIS</v>
      </c>
      <c r="P10" s="9" t="s">
        <v>178</v>
      </c>
      <c r="Q10" s="9" t="s">
        <v>212</v>
      </c>
      <c r="R10" s="18">
        <f>SUM('Hoja 2 - Histórico'!P8:P19)</f>
        <v>1269.7733333333333</v>
      </c>
      <c r="S10" s="18">
        <f t="shared" si="0"/>
        <v>1257.0999999999999</v>
      </c>
      <c r="T10" s="17">
        <f t="shared" si="1"/>
        <v>-9.9807839719425542E-3</v>
      </c>
      <c r="V10" s="9" t="s">
        <v>212</v>
      </c>
      <c r="W10" s="19">
        <f t="shared" si="2"/>
        <v>1257.0999999999999</v>
      </c>
      <c r="X10" s="19">
        <f t="shared" si="2"/>
        <v>1219.0000000000002</v>
      </c>
      <c r="Y10" s="19">
        <f t="shared" si="2"/>
        <v>1168.3</v>
      </c>
      <c r="Z10" s="19">
        <f t="shared" si="2"/>
        <v>1117.5</v>
      </c>
    </row>
    <row r="11" spans="1:26">
      <c r="P11" s="9" t="s">
        <v>178</v>
      </c>
      <c r="Q11" s="9" t="s">
        <v>213</v>
      </c>
      <c r="R11" s="18">
        <f>SUM('Hoja 2 - Histórico'!P8:P19)</f>
        <v>1269.7733333333333</v>
      </c>
      <c r="S11" s="18">
        <f t="shared" si="0"/>
        <v>1244.4000000000001</v>
      </c>
      <c r="T11" s="17">
        <f t="shared" si="1"/>
        <v>-1.998256906744502E-2</v>
      </c>
      <c r="V11" s="9" t="s">
        <v>213</v>
      </c>
      <c r="W11" s="19">
        <f t="shared" si="2"/>
        <v>1244.4000000000001</v>
      </c>
      <c r="X11" s="19">
        <f t="shared" si="2"/>
        <v>1193.5999999999999</v>
      </c>
      <c r="Y11" s="19">
        <f t="shared" si="2"/>
        <v>1117.5</v>
      </c>
      <c r="Z11" s="19">
        <f t="shared" si="2"/>
        <v>1041.3</v>
      </c>
    </row>
    <row r="12" spans="1:26">
      <c r="A12" s="74" t="s">
        <v>214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6"/>
      <c r="P12" s="9" t="s">
        <v>179</v>
      </c>
      <c r="Q12" s="9" t="s">
        <v>189</v>
      </c>
      <c r="R12" s="18">
        <f>SUM('Hoja 2 - Histórico'!P8:P19)</f>
        <v>1269.7733333333333</v>
      </c>
      <c r="S12" s="18">
        <f t="shared" si="0"/>
        <v>1282.6000000000001</v>
      </c>
      <c r="T12" s="17">
        <f t="shared" si="1"/>
        <v>1.0101540432413259E-2</v>
      </c>
    </row>
    <row r="13" spans="1:26">
      <c r="A13" s="77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9"/>
      <c r="P13" s="9" t="s">
        <v>179</v>
      </c>
      <c r="Q13" s="9" t="s">
        <v>199</v>
      </c>
      <c r="R13" s="18">
        <f>SUM('Hoja 2 - Histórico'!P8:P19)</f>
        <v>1269.7733333333333</v>
      </c>
      <c r="S13" s="18">
        <f t="shared" si="0"/>
        <v>1244.4000000000001</v>
      </c>
      <c r="T13" s="17">
        <f t="shared" si="1"/>
        <v>-1.998256906744502E-2</v>
      </c>
    </row>
    <row r="14" spans="1:26">
      <c r="A14" s="80"/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2"/>
      <c r="P14" s="9" t="s">
        <v>179</v>
      </c>
      <c r="Q14" s="9" t="s">
        <v>212</v>
      </c>
      <c r="R14" s="18">
        <f>SUM('Hoja 2 - Histórico'!P8:P19)</f>
        <v>1269.7733333333333</v>
      </c>
      <c r="S14" s="18">
        <f t="shared" si="0"/>
        <v>1219.0000000000002</v>
      </c>
      <c r="T14" s="17">
        <f t="shared" si="1"/>
        <v>-3.9986139258450133E-2</v>
      </c>
    </row>
    <row r="15" spans="1:26">
      <c r="P15" s="9" t="s">
        <v>179</v>
      </c>
      <c r="Q15" s="9" t="s">
        <v>213</v>
      </c>
      <c r="R15" s="18">
        <f>SUM('Hoja 2 - Histórico'!P8:P19)</f>
        <v>1269.7733333333333</v>
      </c>
      <c r="S15" s="18">
        <f t="shared" si="0"/>
        <v>1193.5999999999999</v>
      </c>
      <c r="T15" s="17">
        <f t="shared" si="1"/>
        <v>-5.99897094494556E-2</v>
      </c>
    </row>
    <row r="16" spans="1:26">
      <c r="P16" s="9" t="s">
        <v>180</v>
      </c>
      <c r="Q16" s="9" t="s">
        <v>189</v>
      </c>
      <c r="R16" s="18">
        <f>SUM('Hoja 2 - Histórico'!P8:P19)</f>
        <v>1269.7733333333333</v>
      </c>
      <c r="S16" s="18">
        <f t="shared" si="0"/>
        <v>1257.0999999999999</v>
      </c>
      <c r="T16" s="17">
        <f t="shared" si="1"/>
        <v>-9.9807839719425542E-3</v>
      </c>
    </row>
    <row r="17" spans="1:20" ht="22.05" customHeight="1">
      <c r="A17" s="71" t="s">
        <v>215</v>
      </c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3"/>
      <c r="P17" s="9" t="s">
        <v>180</v>
      </c>
      <c r="Q17" s="9" t="s">
        <v>199</v>
      </c>
      <c r="R17" s="18">
        <f>SUM('Hoja 2 - Histórico'!P8:P19)</f>
        <v>1269.7733333333333</v>
      </c>
      <c r="S17" s="18">
        <f t="shared" si="0"/>
        <v>1219.0000000000002</v>
      </c>
      <c r="T17" s="17">
        <f t="shared" si="1"/>
        <v>-3.9986139258450133E-2</v>
      </c>
    </row>
    <row r="18" spans="1:20">
      <c r="P18" s="9" t="s">
        <v>180</v>
      </c>
      <c r="Q18" s="9" t="s">
        <v>212</v>
      </c>
      <c r="R18" s="18">
        <f>SUM('Hoja 2 - Histórico'!P8:P19)</f>
        <v>1269.7733333333333</v>
      </c>
      <c r="S18" s="18">
        <f t="shared" si="0"/>
        <v>1168.3</v>
      </c>
      <c r="T18" s="17">
        <f t="shared" si="1"/>
        <v>-7.9914525427110375E-2</v>
      </c>
    </row>
    <row r="19" spans="1:20">
      <c r="A19" s="8" t="s">
        <v>98</v>
      </c>
      <c r="B19" s="8" t="s">
        <v>103</v>
      </c>
      <c r="C19" s="8" t="s">
        <v>216</v>
      </c>
      <c r="D19" s="8" t="s">
        <v>125</v>
      </c>
      <c r="E19" s="8" t="s">
        <v>126</v>
      </c>
      <c r="F19" s="8" t="s">
        <v>217</v>
      </c>
      <c r="G19" s="8" t="s">
        <v>218</v>
      </c>
      <c r="H19" s="8" t="s">
        <v>219</v>
      </c>
      <c r="I19" s="8" t="s">
        <v>177</v>
      </c>
      <c r="J19" s="8" t="s">
        <v>44</v>
      </c>
      <c r="K19" s="8" t="s">
        <v>220</v>
      </c>
      <c r="L19" s="8" t="s">
        <v>221</v>
      </c>
      <c r="M19" s="8" t="s">
        <v>222</v>
      </c>
      <c r="N19" s="8" t="s">
        <v>163</v>
      </c>
      <c r="P19" s="9" t="s">
        <v>180</v>
      </c>
      <c r="Q19" s="9" t="s">
        <v>213</v>
      </c>
      <c r="R19" s="18">
        <f>SUM('Hoja 2 - Histórico'!P8:P19)</f>
        <v>1269.7733333333333</v>
      </c>
      <c r="S19" s="18">
        <f t="shared" si="0"/>
        <v>1117.5</v>
      </c>
      <c r="T19" s="17">
        <f t="shared" si="1"/>
        <v>-0.11992166580912077</v>
      </c>
    </row>
    <row r="20" spans="1:20">
      <c r="A20" s="10" t="s">
        <v>178</v>
      </c>
      <c r="B20" s="10" t="s">
        <v>189</v>
      </c>
      <c r="C20" s="10">
        <v>2030</v>
      </c>
      <c r="D20" s="10">
        <v>1</v>
      </c>
      <c r="E20" s="10" t="s">
        <v>134</v>
      </c>
      <c r="F20" s="18">
        <f>INDEX('Hoja 2 - Histórico'!$P$8:$P$19,MATCH(D20,'Hoja 2 - Histórico'!$N$8:$N$19,0))</f>
        <v>64.923333333333346</v>
      </c>
      <c r="G20" s="12">
        <v>66.2</v>
      </c>
      <c r="H20" s="18">
        <f t="shared" ref="H20:H51" si="3">G20-F20</f>
        <v>1.2766666666666566</v>
      </c>
      <c r="I20" s="17">
        <f t="shared" ref="I20:I51" si="4">IF(F20=0,"",(G20-F20)/F20)</f>
        <v>1.9664219335626478E-2</v>
      </c>
      <c r="J20" s="10" t="s">
        <v>56</v>
      </c>
      <c r="K20" s="10" t="s">
        <v>223</v>
      </c>
      <c r="L20" s="10" t="s">
        <v>224</v>
      </c>
      <c r="M20" s="10" t="s">
        <v>225</v>
      </c>
      <c r="N20" s="15" t="str">
        <f t="shared" ref="N20:N51" si="5">IF(OR(G20&lt;0,J20&lt;&gt;"mm",K20="",L20=""),"REVISAR","OK")</f>
        <v>OK</v>
      </c>
      <c r="P20" s="9" t="s">
        <v>181</v>
      </c>
      <c r="Q20" s="9" t="s">
        <v>189</v>
      </c>
      <c r="R20" s="18">
        <f>SUM('Hoja 2 - Histórico'!P8:P19)</f>
        <v>1269.7733333333333</v>
      </c>
      <c r="S20" s="18">
        <f t="shared" si="0"/>
        <v>1244.4000000000001</v>
      </c>
      <c r="T20" s="17">
        <f t="shared" si="1"/>
        <v>-1.998256906744502E-2</v>
      </c>
    </row>
    <row r="21" spans="1:20">
      <c r="A21" s="10" t="s">
        <v>178</v>
      </c>
      <c r="B21" s="10" t="s">
        <v>189</v>
      </c>
      <c r="C21" s="10">
        <v>2030</v>
      </c>
      <c r="D21" s="10">
        <v>2</v>
      </c>
      <c r="E21" s="10" t="s">
        <v>141</v>
      </c>
      <c r="F21" s="18">
        <f>INDEX('Hoja 2 - Histórico'!$P$8:$P$19,MATCH(D21,'Hoja 2 - Histórico'!$N$8:$N$19,0))</f>
        <v>75.066666666666677</v>
      </c>
      <c r="G21" s="12">
        <v>76.599999999999994</v>
      </c>
      <c r="H21" s="18">
        <f t="shared" si="3"/>
        <v>1.5333333333333172</v>
      </c>
      <c r="I21" s="17">
        <f t="shared" si="4"/>
        <v>2.0426287744227136E-2</v>
      </c>
      <c r="J21" s="10" t="s">
        <v>56</v>
      </c>
      <c r="K21" s="10" t="s">
        <v>223</v>
      </c>
      <c r="L21" s="10" t="s">
        <v>224</v>
      </c>
      <c r="M21" s="10" t="s">
        <v>225</v>
      </c>
      <c r="N21" s="15" t="str">
        <f t="shared" si="5"/>
        <v>OK</v>
      </c>
      <c r="P21" s="9" t="s">
        <v>181</v>
      </c>
      <c r="Q21" s="9" t="s">
        <v>199</v>
      </c>
      <c r="R21" s="18">
        <f>SUM('Hoja 2 - Histórico'!P8:P19)</f>
        <v>1269.7733333333333</v>
      </c>
      <c r="S21" s="18">
        <f t="shared" si="0"/>
        <v>1193.5999999999999</v>
      </c>
      <c r="T21" s="17">
        <f t="shared" si="1"/>
        <v>-5.99897094494556E-2</v>
      </c>
    </row>
    <row r="22" spans="1:20">
      <c r="A22" s="10" t="s">
        <v>178</v>
      </c>
      <c r="B22" s="10" t="s">
        <v>189</v>
      </c>
      <c r="C22" s="10">
        <v>2030</v>
      </c>
      <c r="D22" s="10">
        <v>3</v>
      </c>
      <c r="E22" s="10" t="s">
        <v>148</v>
      </c>
      <c r="F22" s="18">
        <f>INDEX('Hoja 2 - Histórico'!$P$8:$P$19,MATCH(D22,'Hoja 2 - Histórico'!$N$8:$N$19,0))</f>
        <v>110.1</v>
      </c>
      <c r="G22" s="12">
        <v>112.3</v>
      </c>
      <c r="H22" s="18">
        <f t="shared" si="3"/>
        <v>2.2000000000000028</v>
      </c>
      <c r="I22" s="17">
        <f t="shared" si="4"/>
        <v>1.9981834695731181E-2</v>
      </c>
      <c r="J22" s="10" t="s">
        <v>56</v>
      </c>
      <c r="K22" s="10" t="s">
        <v>223</v>
      </c>
      <c r="L22" s="10" t="s">
        <v>224</v>
      </c>
      <c r="M22" s="10" t="s">
        <v>225</v>
      </c>
      <c r="N22" s="15" t="str">
        <f t="shared" si="5"/>
        <v>OK</v>
      </c>
      <c r="P22" s="9" t="s">
        <v>181</v>
      </c>
      <c r="Q22" s="9" t="s">
        <v>212</v>
      </c>
      <c r="R22" s="18">
        <f>SUM('Hoja 2 - Histórico'!P8:P19)</f>
        <v>1269.7733333333333</v>
      </c>
      <c r="S22" s="18">
        <f t="shared" si="0"/>
        <v>1117.5</v>
      </c>
      <c r="T22" s="17">
        <f t="shared" si="1"/>
        <v>-0.11992166580912077</v>
      </c>
    </row>
    <row r="23" spans="1:20">
      <c r="A23" s="10" t="s">
        <v>178</v>
      </c>
      <c r="B23" s="10" t="s">
        <v>189</v>
      </c>
      <c r="C23" s="10">
        <v>2030</v>
      </c>
      <c r="D23" s="10">
        <v>4</v>
      </c>
      <c r="E23" s="10" t="s">
        <v>149</v>
      </c>
      <c r="F23" s="18">
        <f>INDEX('Hoja 2 - Histórico'!$P$8:$P$19,MATCH(D23,'Hoja 2 - Histórico'!$N$8:$N$19,0))</f>
        <v>154.96999999999991</v>
      </c>
      <c r="G23" s="12">
        <v>158.1</v>
      </c>
      <c r="H23" s="18">
        <f t="shared" si="3"/>
        <v>3.1300000000000807</v>
      </c>
      <c r="I23" s="17">
        <f t="shared" si="4"/>
        <v>2.0197457572433908E-2</v>
      </c>
      <c r="J23" s="10" t="s">
        <v>56</v>
      </c>
      <c r="K23" s="10" t="s">
        <v>223</v>
      </c>
      <c r="L23" s="10" t="s">
        <v>224</v>
      </c>
      <c r="M23" s="10" t="s">
        <v>225</v>
      </c>
      <c r="N23" s="15" t="str">
        <f t="shared" si="5"/>
        <v>OK</v>
      </c>
      <c r="P23" s="9" t="s">
        <v>181</v>
      </c>
      <c r="Q23" s="9" t="s">
        <v>213</v>
      </c>
      <c r="R23" s="18">
        <f>SUM('Hoja 2 - Histórico'!P8:P19)</f>
        <v>1269.7733333333333</v>
      </c>
      <c r="S23" s="18">
        <f t="shared" si="0"/>
        <v>1041.3</v>
      </c>
      <c r="T23" s="17">
        <f t="shared" si="1"/>
        <v>-0.17993237638213647</v>
      </c>
    </row>
    <row r="24" spans="1:20">
      <c r="A24" s="10" t="s">
        <v>178</v>
      </c>
      <c r="B24" s="10" t="s">
        <v>189</v>
      </c>
      <c r="C24" s="10">
        <v>2030</v>
      </c>
      <c r="D24" s="10">
        <v>5</v>
      </c>
      <c r="E24" s="10" t="s">
        <v>151</v>
      </c>
      <c r="F24" s="18">
        <f>INDEX('Hoja 2 - Histórico'!$P$8:$P$19,MATCH(D24,'Hoja 2 - Histórico'!$N$8:$N$19,0))</f>
        <v>139.87333333333333</v>
      </c>
      <c r="G24" s="12">
        <v>142.69999999999999</v>
      </c>
      <c r="H24" s="18">
        <f t="shared" si="3"/>
        <v>2.8266666666666538</v>
      </c>
      <c r="I24" s="17">
        <f t="shared" si="4"/>
        <v>2.0208760306944285E-2</v>
      </c>
      <c r="J24" s="10" t="s">
        <v>56</v>
      </c>
      <c r="K24" s="10" t="s">
        <v>223</v>
      </c>
      <c r="L24" s="10" t="s">
        <v>224</v>
      </c>
      <c r="M24" s="10" t="s">
        <v>225</v>
      </c>
      <c r="N24" s="15" t="str">
        <f t="shared" si="5"/>
        <v>OK</v>
      </c>
    </row>
    <row r="25" spans="1:20">
      <c r="A25" s="10" t="s">
        <v>178</v>
      </c>
      <c r="B25" s="10" t="s">
        <v>189</v>
      </c>
      <c r="C25" s="10">
        <v>2030</v>
      </c>
      <c r="D25" s="10">
        <v>6</v>
      </c>
      <c r="E25" s="10" t="s">
        <v>152</v>
      </c>
      <c r="F25" s="18">
        <f>INDEX('Hoja 2 - Histórico'!$P$8:$P$19,MATCH(D25,'Hoja 2 - Histórico'!$N$8:$N$19,0))</f>
        <v>84.956666666666663</v>
      </c>
      <c r="G25" s="12">
        <v>86.7</v>
      </c>
      <c r="H25" s="18">
        <f t="shared" si="3"/>
        <v>1.7433333333333394</v>
      </c>
      <c r="I25" s="17">
        <f t="shared" si="4"/>
        <v>2.0520265233256244E-2</v>
      </c>
      <c r="J25" s="10" t="s">
        <v>56</v>
      </c>
      <c r="K25" s="10" t="s">
        <v>223</v>
      </c>
      <c r="L25" s="10" t="s">
        <v>224</v>
      </c>
      <c r="M25" s="10" t="s">
        <v>225</v>
      </c>
      <c r="N25" s="15" t="str">
        <f t="shared" si="5"/>
        <v>OK</v>
      </c>
    </row>
    <row r="26" spans="1:20">
      <c r="A26" s="10" t="s">
        <v>178</v>
      </c>
      <c r="B26" s="10" t="s">
        <v>189</v>
      </c>
      <c r="C26" s="10">
        <v>2030</v>
      </c>
      <c r="D26" s="10">
        <v>7</v>
      </c>
      <c r="E26" s="10" t="s">
        <v>153</v>
      </c>
      <c r="F26" s="18">
        <f>INDEX('Hoja 2 - Histórico'!$P$8:$P$19,MATCH(D26,'Hoja 2 - Histórico'!$N$8:$N$19,0))</f>
        <v>70.029999999999987</v>
      </c>
      <c r="G26" s="12">
        <v>71.400000000000006</v>
      </c>
      <c r="H26" s="18">
        <f t="shared" si="3"/>
        <v>1.3700000000000188</v>
      </c>
      <c r="I26" s="17">
        <f t="shared" si="4"/>
        <v>1.956304440953904E-2</v>
      </c>
      <c r="J26" s="10" t="s">
        <v>56</v>
      </c>
      <c r="K26" s="10" t="s">
        <v>223</v>
      </c>
      <c r="L26" s="10" t="s">
        <v>224</v>
      </c>
      <c r="M26" s="10" t="s">
        <v>225</v>
      </c>
      <c r="N26" s="15" t="str">
        <f t="shared" si="5"/>
        <v>OK</v>
      </c>
    </row>
    <row r="27" spans="1:20">
      <c r="A27" s="10" t="s">
        <v>178</v>
      </c>
      <c r="B27" s="10" t="s">
        <v>189</v>
      </c>
      <c r="C27" s="10">
        <v>2030</v>
      </c>
      <c r="D27" s="10">
        <v>8</v>
      </c>
      <c r="E27" s="10" t="s">
        <v>154</v>
      </c>
      <c r="F27" s="18">
        <f>INDEX('Hoja 2 - Histórico'!$P$8:$P$19,MATCH(D27,'Hoja 2 - Histórico'!$N$8:$N$19,0))</f>
        <v>75.036666666666662</v>
      </c>
      <c r="G27" s="12">
        <v>76.5</v>
      </c>
      <c r="H27" s="18">
        <f t="shared" si="3"/>
        <v>1.4633333333333383</v>
      </c>
      <c r="I27" s="17">
        <f t="shared" si="4"/>
        <v>1.9501577006796743E-2</v>
      </c>
      <c r="J27" s="10" t="s">
        <v>56</v>
      </c>
      <c r="K27" s="10" t="s">
        <v>223</v>
      </c>
      <c r="L27" s="10" t="s">
        <v>224</v>
      </c>
      <c r="M27" s="10" t="s">
        <v>225</v>
      </c>
      <c r="N27" s="15" t="str">
        <f t="shared" si="5"/>
        <v>OK</v>
      </c>
    </row>
    <row r="28" spans="1:20">
      <c r="A28" s="10" t="s">
        <v>178</v>
      </c>
      <c r="B28" s="10" t="s">
        <v>189</v>
      </c>
      <c r="C28" s="10">
        <v>2030</v>
      </c>
      <c r="D28" s="10">
        <v>9</v>
      </c>
      <c r="E28" s="10" t="s">
        <v>155</v>
      </c>
      <c r="F28" s="18">
        <f>INDEX('Hoja 2 - Histórico'!$P$8:$P$19,MATCH(D28,'Hoja 2 - Histórico'!$N$8:$N$19,0))</f>
        <v>119.9666666666667</v>
      </c>
      <c r="G28" s="12">
        <v>122.4</v>
      </c>
      <c r="H28" s="18">
        <f t="shared" si="3"/>
        <v>2.4333333333333087</v>
      </c>
      <c r="I28" s="17">
        <f t="shared" si="4"/>
        <v>2.0283412058905041E-2</v>
      </c>
      <c r="J28" s="10" t="s">
        <v>56</v>
      </c>
      <c r="K28" s="10" t="s">
        <v>223</v>
      </c>
      <c r="L28" s="10" t="s">
        <v>224</v>
      </c>
      <c r="M28" s="10" t="s">
        <v>225</v>
      </c>
      <c r="N28" s="15" t="str">
        <f t="shared" si="5"/>
        <v>OK</v>
      </c>
    </row>
    <row r="29" spans="1:20">
      <c r="A29" s="10" t="s">
        <v>178</v>
      </c>
      <c r="B29" s="10" t="s">
        <v>189</v>
      </c>
      <c r="C29" s="10">
        <v>2030</v>
      </c>
      <c r="D29" s="10">
        <v>10</v>
      </c>
      <c r="E29" s="10" t="s">
        <v>157</v>
      </c>
      <c r="F29" s="18">
        <f>INDEX('Hoja 2 - Histórico'!$P$8:$P$19,MATCH(D29,'Hoja 2 - Histórico'!$N$8:$N$19,0))</f>
        <v>159.85333333333332</v>
      </c>
      <c r="G29" s="12">
        <v>163.1</v>
      </c>
      <c r="H29" s="18">
        <f t="shared" si="3"/>
        <v>3.2466666666666697</v>
      </c>
      <c r="I29" s="17">
        <f t="shared" si="4"/>
        <v>2.0310284427391797E-2</v>
      </c>
      <c r="J29" s="10" t="s">
        <v>56</v>
      </c>
      <c r="K29" s="10" t="s">
        <v>223</v>
      </c>
      <c r="L29" s="10" t="s">
        <v>224</v>
      </c>
      <c r="M29" s="10" t="s">
        <v>225</v>
      </c>
      <c r="N29" s="15" t="str">
        <f t="shared" si="5"/>
        <v>OK</v>
      </c>
    </row>
    <row r="30" spans="1:20">
      <c r="A30" s="10" t="s">
        <v>178</v>
      </c>
      <c r="B30" s="10" t="s">
        <v>189</v>
      </c>
      <c r="C30" s="10">
        <v>2030</v>
      </c>
      <c r="D30" s="10">
        <v>11</v>
      </c>
      <c r="E30" s="10" t="s">
        <v>158</v>
      </c>
      <c r="F30" s="18">
        <f>INDEX('Hoja 2 - Histórico'!$P$8:$P$19,MATCH(D30,'Hoja 2 - Histórico'!$N$8:$N$19,0))</f>
        <v>134.94666666666666</v>
      </c>
      <c r="G30" s="12">
        <v>137.6</v>
      </c>
      <c r="H30" s="18">
        <f t="shared" si="3"/>
        <v>2.653333333333336</v>
      </c>
      <c r="I30" s="17">
        <f t="shared" si="4"/>
        <v>1.9662088726410454E-2</v>
      </c>
      <c r="J30" s="10" t="s">
        <v>56</v>
      </c>
      <c r="K30" s="10" t="s">
        <v>223</v>
      </c>
      <c r="L30" s="10" t="s">
        <v>224</v>
      </c>
      <c r="M30" s="10" t="s">
        <v>225</v>
      </c>
      <c r="N30" s="15" t="str">
        <f t="shared" si="5"/>
        <v>OK</v>
      </c>
    </row>
    <row r="31" spans="1:20">
      <c r="A31" s="10" t="s">
        <v>178</v>
      </c>
      <c r="B31" s="10" t="s">
        <v>189</v>
      </c>
      <c r="C31" s="10">
        <v>2030</v>
      </c>
      <c r="D31" s="10">
        <v>12</v>
      </c>
      <c r="E31" s="10" t="s">
        <v>164</v>
      </c>
      <c r="F31" s="18">
        <f>INDEX('Hoja 2 - Histórico'!$P$8:$P$19,MATCH(D31,'Hoja 2 - Histórico'!$N$8:$N$19,0))</f>
        <v>80.049999999999983</v>
      </c>
      <c r="G31" s="12">
        <v>81.7</v>
      </c>
      <c r="H31" s="18">
        <f t="shared" si="3"/>
        <v>1.6500000000000199</v>
      </c>
      <c r="I31" s="17">
        <f t="shared" si="4"/>
        <v>2.0612117426608623E-2</v>
      </c>
      <c r="J31" s="10" t="s">
        <v>56</v>
      </c>
      <c r="K31" s="10" t="s">
        <v>223</v>
      </c>
      <c r="L31" s="10" t="s">
        <v>224</v>
      </c>
      <c r="M31" s="10" t="s">
        <v>225</v>
      </c>
      <c r="N31" s="15" t="str">
        <f t="shared" si="5"/>
        <v>OK</v>
      </c>
    </row>
    <row r="32" spans="1:20">
      <c r="A32" s="10" t="s">
        <v>178</v>
      </c>
      <c r="B32" s="10" t="s">
        <v>199</v>
      </c>
      <c r="C32" s="10">
        <v>2050</v>
      </c>
      <c r="D32" s="10">
        <v>1</v>
      </c>
      <c r="E32" s="10" t="s">
        <v>134</v>
      </c>
      <c r="F32" s="18">
        <f>INDEX('Hoja 2 - Histórico'!$P$8:$P$19,MATCH(D32,'Hoja 2 - Histórico'!$N$8:$N$19,0))</f>
        <v>64.923333333333346</v>
      </c>
      <c r="G32" s="12">
        <v>65.599999999999994</v>
      </c>
      <c r="H32" s="18">
        <f t="shared" si="3"/>
        <v>0.6766666666666481</v>
      </c>
      <c r="I32" s="17">
        <f t="shared" si="4"/>
        <v>1.0422549673974144E-2</v>
      </c>
      <c r="J32" s="10" t="s">
        <v>56</v>
      </c>
      <c r="K32" s="10" t="s">
        <v>223</v>
      </c>
      <c r="L32" s="10" t="s">
        <v>224</v>
      </c>
      <c r="M32" s="10" t="s">
        <v>225</v>
      </c>
      <c r="N32" s="15" t="str">
        <f t="shared" si="5"/>
        <v>OK</v>
      </c>
    </row>
    <row r="33" spans="1:26">
      <c r="A33" s="10" t="s">
        <v>178</v>
      </c>
      <c r="B33" s="10" t="s">
        <v>199</v>
      </c>
      <c r="C33" s="10">
        <v>2050</v>
      </c>
      <c r="D33" s="10">
        <v>2</v>
      </c>
      <c r="E33" s="10" t="s">
        <v>141</v>
      </c>
      <c r="F33" s="18">
        <f>INDEX('Hoja 2 - Histórico'!$P$8:$P$19,MATCH(D33,'Hoja 2 - Histórico'!$N$8:$N$19,0))</f>
        <v>75.066666666666677</v>
      </c>
      <c r="G33" s="12">
        <v>75.8</v>
      </c>
      <c r="H33" s="18">
        <f t="shared" si="3"/>
        <v>0.73333333333332007</v>
      </c>
      <c r="I33" s="17">
        <f t="shared" si="4"/>
        <v>9.769094138543339E-3</v>
      </c>
      <c r="J33" s="10" t="s">
        <v>56</v>
      </c>
      <c r="K33" s="10" t="s">
        <v>223</v>
      </c>
      <c r="L33" s="10" t="s">
        <v>224</v>
      </c>
      <c r="M33" s="10" t="s">
        <v>225</v>
      </c>
      <c r="N33" s="15" t="str">
        <f t="shared" si="5"/>
        <v>OK</v>
      </c>
    </row>
    <row r="34" spans="1:26">
      <c r="A34" s="10" t="s">
        <v>178</v>
      </c>
      <c r="B34" s="10" t="s">
        <v>199</v>
      </c>
      <c r="C34" s="10">
        <v>2050</v>
      </c>
      <c r="D34" s="10">
        <v>3</v>
      </c>
      <c r="E34" s="10" t="s">
        <v>148</v>
      </c>
      <c r="F34" s="18">
        <f>INDEX('Hoja 2 - Histórico'!$P$8:$P$19,MATCH(D34,'Hoja 2 - Histórico'!$N$8:$N$19,0))</f>
        <v>110.1</v>
      </c>
      <c r="G34" s="12">
        <v>111.2</v>
      </c>
      <c r="H34" s="18">
        <f t="shared" si="3"/>
        <v>1.1000000000000085</v>
      </c>
      <c r="I34" s="17">
        <f t="shared" si="4"/>
        <v>9.9909173478656549E-3</v>
      </c>
      <c r="J34" s="10" t="s">
        <v>56</v>
      </c>
      <c r="K34" s="10" t="s">
        <v>223</v>
      </c>
      <c r="L34" s="10" t="s">
        <v>224</v>
      </c>
      <c r="M34" s="10" t="s">
        <v>225</v>
      </c>
      <c r="N34" s="15" t="str">
        <f t="shared" si="5"/>
        <v>OK</v>
      </c>
    </row>
    <row r="35" spans="1:26">
      <c r="A35" s="10" t="s">
        <v>178</v>
      </c>
      <c r="B35" s="10" t="s">
        <v>199</v>
      </c>
      <c r="C35" s="10">
        <v>2050</v>
      </c>
      <c r="D35" s="10">
        <v>4</v>
      </c>
      <c r="E35" s="10" t="s">
        <v>149</v>
      </c>
      <c r="F35" s="18">
        <f>INDEX('Hoja 2 - Histórico'!$P$8:$P$19,MATCH(D35,'Hoja 2 - Histórico'!$N$8:$N$19,0))</f>
        <v>154.96999999999991</v>
      </c>
      <c r="G35" s="12">
        <v>156.5</v>
      </c>
      <c r="H35" s="18">
        <f t="shared" si="3"/>
        <v>1.5300000000000864</v>
      </c>
      <c r="I35" s="17">
        <f t="shared" si="4"/>
        <v>9.8728786216692732E-3</v>
      </c>
      <c r="J35" s="10" t="s">
        <v>56</v>
      </c>
      <c r="K35" s="10" t="s">
        <v>223</v>
      </c>
      <c r="L35" s="10" t="s">
        <v>224</v>
      </c>
      <c r="M35" s="10" t="s">
        <v>225</v>
      </c>
      <c r="N35" s="15" t="str">
        <f t="shared" si="5"/>
        <v>OK</v>
      </c>
    </row>
    <row r="36" spans="1:26">
      <c r="A36" s="10" t="s">
        <v>178</v>
      </c>
      <c r="B36" s="10" t="s">
        <v>199</v>
      </c>
      <c r="C36" s="10">
        <v>2050</v>
      </c>
      <c r="D36" s="10">
        <v>5</v>
      </c>
      <c r="E36" s="10" t="s">
        <v>151</v>
      </c>
      <c r="F36" s="18">
        <f>INDEX('Hoja 2 - Histórico'!$P$8:$P$19,MATCH(D36,'Hoja 2 - Histórico'!$N$8:$N$19,0))</f>
        <v>139.87333333333333</v>
      </c>
      <c r="G36" s="12">
        <v>141.30000000000001</v>
      </c>
      <c r="H36" s="18">
        <f t="shared" si="3"/>
        <v>1.4266666666666765</v>
      </c>
      <c r="I36" s="17">
        <f t="shared" si="4"/>
        <v>1.0199704494542753E-2</v>
      </c>
      <c r="J36" s="10" t="s">
        <v>56</v>
      </c>
      <c r="K36" s="10" t="s">
        <v>223</v>
      </c>
      <c r="L36" s="10" t="s">
        <v>224</v>
      </c>
      <c r="M36" s="10" t="s">
        <v>225</v>
      </c>
      <c r="N36" s="15" t="str">
        <f t="shared" si="5"/>
        <v>OK</v>
      </c>
    </row>
    <row r="37" spans="1:26">
      <c r="A37" s="10" t="s">
        <v>178</v>
      </c>
      <c r="B37" s="10" t="s">
        <v>199</v>
      </c>
      <c r="C37" s="10">
        <v>2050</v>
      </c>
      <c r="D37" s="10">
        <v>6</v>
      </c>
      <c r="E37" s="10" t="s">
        <v>152</v>
      </c>
      <c r="F37" s="18">
        <f>INDEX('Hoja 2 - Histórico'!$P$8:$P$19,MATCH(D37,'Hoja 2 - Histórico'!$N$8:$N$19,0))</f>
        <v>84.956666666666663</v>
      </c>
      <c r="G37" s="12">
        <v>85.8</v>
      </c>
      <c r="H37" s="18">
        <f t="shared" si="3"/>
        <v>0.84333333333333371</v>
      </c>
      <c r="I37" s="17">
        <f t="shared" si="4"/>
        <v>9.9266292619766983E-3</v>
      </c>
      <c r="J37" s="10" t="s">
        <v>56</v>
      </c>
      <c r="K37" s="10" t="s">
        <v>223</v>
      </c>
      <c r="L37" s="10" t="s">
        <v>224</v>
      </c>
      <c r="M37" s="10" t="s">
        <v>225</v>
      </c>
      <c r="N37" s="15" t="str">
        <f t="shared" si="5"/>
        <v>OK</v>
      </c>
    </row>
    <row r="38" spans="1:26">
      <c r="A38" s="10" t="s">
        <v>178</v>
      </c>
      <c r="B38" s="10" t="s">
        <v>199</v>
      </c>
      <c r="C38" s="10">
        <v>2050</v>
      </c>
      <c r="D38" s="10">
        <v>7</v>
      </c>
      <c r="E38" s="10" t="s">
        <v>153</v>
      </c>
      <c r="F38" s="18">
        <f>INDEX('Hoja 2 - Histórico'!$P$8:$P$19,MATCH(D38,'Hoja 2 - Histórico'!$N$8:$N$19,0))</f>
        <v>70.029999999999987</v>
      </c>
      <c r="G38" s="12">
        <v>70.7</v>
      </c>
      <c r="H38" s="18">
        <f t="shared" si="3"/>
        <v>0.67000000000001592</v>
      </c>
      <c r="I38" s="17">
        <f t="shared" si="4"/>
        <v>9.5673282878768525E-3</v>
      </c>
      <c r="J38" s="10" t="s">
        <v>56</v>
      </c>
      <c r="K38" s="10" t="s">
        <v>223</v>
      </c>
      <c r="L38" s="10" t="s">
        <v>224</v>
      </c>
      <c r="M38" s="10" t="s">
        <v>225</v>
      </c>
      <c r="N38" s="15" t="str">
        <f t="shared" si="5"/>
        <v>OK</v>
      </c>
    </row>
    <row r="39" spans="1:26">
      <c r="A39" s="10" t="s">
        <v>178</v>
      </c>
      <c r="B39" s="10" t="s">
        <v>199</v>
      </c>
      <c r="C39" s="10">
        <v>2050</v>
      </c>
      <c r="D39" s="10">
        <v>8</v>
      </c>
      <c r="E39" s="10" t="s">
        <v>154</v>
      </c>
      <c r="F39" s="18">
        <f>INDEX('Hoja 2 - Histórico'!$P$8:$P$19,MATCH(D39,'Hoja 2 - Histórico'!$N$8:$N$19,0))</f>
        <v>75.036666666666662</v>
      </c>
      <c r="G39" s="12">
        <v>75.8</v>
      </c>
      <c r="H39" s="18">
        <f t="shared" si="3"/>
        <v>0.76333333333333542</v>
      </c>
      <c r="I39" s="17">
        <f t="shared" si="4"/>
        <v>1.0172804406734513E-2</v>
      </c>
      <c r="J39" s="10" t="s">
        <v>56</v>
      </c>
      <c r="K39" s="10" t="s">
        <v>223</v>
      </c>
      <c r="L39" s="10" t="s">
        <v>224</v>
      </c>
      <c r="M39" s="10" t="s">
        <v>225</v>
      </c>
      <c r="N39" s="15" t="str">
        <f t="shared" si="5"/>
        <v>OK</v>
      </c>
    </row>
    <row r="40" spans="1:26">
      <c r="A40" s="10" t="s">
        <v>178</v>
      </c>
      <c r="B40" s="10" t="s">
        <v>199</v>
      </c>
      <c r="C40" s="10">
        <v>2050</v>
      </c>
      <c r="D40" s="10">
        <v>9</v>
      </c>
      <c r="E40" s="10" t="s">
        <v>155</v>
      </c>
      <c r="F40" s="18">
        <f>INDEX('Hoja 2 - Histórico'!$P$8:$P$19,MATCH(D40,'Hoja 2 - Histórico'!$N$8:$N$19,0))</f>
        <v>119.9666666666667</v>
      </c>
      <c r="G40" s="12">
        <v>121.2</v>
      </c>
      <c r="H40" s="18">
        <f t="shared" si="3"/>
        <v>1.2333333333333059</v>
      </c>
      <c r="I40" s="17">
        <f t="shared" si="4"/>
        <v>1.0280633509307909E-2</v>
      </c>
      <c r="J40" s="10" t="s">
        <v>56</v>
      </c>
      <c r="K40" s="10" t="s">
        <v>223</v>
      </c>
      <c r="L40" s="10" t="s">
        <v>224</v>
      </c>
      <c r="M40" s="10" t="s">
        <v>225</v>
      </c>
      <c r="N40" s="15" t="str">
        <f t="shared" si="5"/>
        <v>OK</v>
      </c>
    </row>
    <row r="41" spans="1:26">
      <c r="A41" s="10" t="s">
        <v>178</v>
      </c>
      <c r="B41" s="10" t="s">
        <v>199</v>
      </c>
      <c r="C41" s="10">
        <v>2050</v>
      </c>
      <c r="D41" s="10">
        <v>10</v>
      </c>
      <c r="E41" s="10" t="s">
        <v>157</v>
      </c>
      <c r="F41" s="18">
        <f>INDEX('Hoja 2 - Histórico'!$P$8:$P$19,MATCH(D41,'Hoja 2 - Histórico'!$N$8:$N$19,0))</f>
        <v>159.85333333333332</v>
      </c>
      <c r="G41" s="12">
        <v>161.5</v>
      </c>
      <c r="H41" s="18">
        <f t="shared" si="3"/>
        <v>1.6466666666666754</v>
      </c>
      <c r="I41" s="17">
        <f t="shared" si="4"/>
        <v>1.0301109350237774E-2</v>
      </c>
      <c r="J41" s="10" t="s">
        <v>56</v>
      </c>
      <c r="K41" s="10" t="s">
        <v>223</v>
      </c>
      <c r="L41" s="10" t="s">
        <v>224</v>
      </c>
      <c r="M41" s="10" t="s">
        <v>225</v>
      </c>
      <c r="N41" s="15" t="str">
        <f t="shared" si="5"/>
        <v>OK</v>
      </c>
    </row>
    <row r="42" spans="1:26">
      <c r="A42" s="10" t="s">
        <v>178</v>
      </c>
      <c r="B42" s="10" t="s">
        <v>199</v>
      </c>
      <c r="C42" s="10">
        <v>2050</v>
      </c>
      <c r="D42" s="10">
        <v>11</v>
      </c>
      <c r="E42" s="10" t="s">
        <v>158</v>
      </c>
      <c r="F42" s="18">
        <f>INDEX('Hoja 2 - Histórico'!$P$8:$P$19,MATCH(D42,'Hoja 2 - Histórico'!$N$8:$N$19,0))</f>
        <v>134.94666666666666</v>
      </c>
      <c r="G42" s="12">
        <v>136.30000000000001</v>
      </c>
      <c r="H42" s="18">
        <f t="shared" si="3"/>
        <v>1.353333333333353</v>
      </c>
      <c r="I42" s="17">
        <f t="shared" si="4"/>
        <v>1.0028653295129086E-2</v>
      </c>
      <c r="J42" s="10" t="s">
        <v>56</v>
      </c>
      <c r="K42" s="10" t="s">
        <v>223</v>
      </c>
      <c r="L42" s="10" t="s">
        <v>224</v>
      </c>
      <c r="M42" s="10" t="s">
        <v>225</v>
      </c>
      <c r="N42" s="15" t="str">
        <f t="shared" si="5"/>
        <v>OK</v>
      </c>
    </row>
    <row r="43" spans="1:26">
      <c r="A43" s="10" t="s">
        <v>178</v>
      </c>
      <c r="B43" s="10" t="s">
        <v>199</v>
      </c>
      <c r="C43" s="10">
        <v>2050</v>
      </c>
      <c r="D43" s="10">
        <v>12</v>
      </c>
      <c r="E43" s="10" t="s">
        <v>164</v>
      </c>
      <c r="F43" s="18">
        <f>INDEX('Hoja 2 - Histórico'!$P$8:$P$19,MATCH(D43,'Hoja 2 - Histórico'!$N$8:$N$19,0))</f>
        <v>80.049999999999983</v>
      </c>
      <c r="G43" s="12">
        <v>80.900000000000006</v>
      </c>
      <c r="H43" s="18">
        <f t="shared" si="3"/>
        <v>0.85000000000002274</v>
      </c>
      <c r="I43" s="17">
        <f t="shared" si="4"/>
        <v>1.0618363522798538E-2</v>
      </c>
      <c r="J43" s="10" t="s">
        <v>56</v>
      </c>
      <c r="K43" s="10" t="s">
        <v>223</v>
      </c>
      <c r="L43" s="10" t="s">
        <v>224</v>
      </c>
      <c r="M43" s="10" t="s">
        <v>225</v>
      </c>
      <c r="N43" s="15" t="str">
        <f t="shared" si="5"/>
        <v>OK</v>
      </c>
    </row>
    <row r="44" spans="1:26">
      <c r="A44" s="10" t="s">
        <v>178</v>
      </c>
      <c r="B44" s="10" t="s">
        <v>212</v>
      </c>
      <c r="C44" s="10">
        <v>2070</v>
      </c>
      <c r="D44" s="10">
        <v>1</v>
      </c>
      <c r="E44" s="10" t="s">
        <v>134</v>
      </c>
      <c r="F44" s="18">
        <f>INDEX('Hoja 2 - Histórico'!$P$8:$P$19,MATCH(D44,'Hoja 2 - Histórico'!$N$8:$N$19,0))</f>
        <v>64.923333333333346</v>
      </c>
      <c r="G44" s="12">
        <v>64.3</v>
      </c>
      <c r="H44" s="18">
        <f t="shared" si="3"/>
        <v>-0.62333333333334906</v>
      </c>
      <c r="I44" s="17">
        <f t="shared" si="4"/>
        <v>-9.6010679262722529E-3</v>
      </c>
      <c r="J44" s="10" t="s">
        <v>56</v>
      </c>
      <c r="K44" s="10" t="s">
        <v>223</v>
      </c>
      <c r="L44" s="10" t="s">
        <v>224</v>
      </c>
      <c r="M44" s="10" t="s">
        <v>225</v>
      </c>
      <c r="N44" s="15" t="str">
        <f t="shared" si="5"/>
        <v>OK</v>
      </c>
    </row>
    <row r="45" spans="1:26">
      <c r="A45" s="10" t="s">
        <v>178</v>
      </c>
      <c r="B45" s="10" t="s">
        <v>212</v>
      </c>
      <c r="C45" s="10">
        <v>2070</v>
      </c>
      <c r="D45" s="10">
        <v>2</v>
      </c>
      <c r="E45" s="10" t="s">
        <v>141</v>
      </c>
      <c r="F45" s="18">
        <f>INDEX('Hoja 2 - Histórico'!$P$8:$P$19,MATCH(D45,'Hoja 2 - Histórico'!$N$8:$N$19,0))</f>
        <v>75.066666666666677</v>
      </c>
      <c r="G45" s="12">
        <v>74.3</v>
      </c>
      <c r="H45" s="18">
        <f t="shared" si="3"/>
        <v>-0.76666666666667993</v>
      </c>
      <c r="I45" s="17">
        <f t="shared" si="4"/>
        <v>-1.0213143872113853E-2</v>
      </c>
      <c r="J45" s="10" t="s">
        <v>56</v>
      </c>
      <c r="K45" s="10" t="s">
        <v>223</v>
      </c>
      <c r="L45" s="10" t="s">
        <v>224</v>
      </c>
      <c r="M45" s="10" t="s">
        <v>225</v>
      </c>
      <c r="N45" s="15" t="str">
        <f t="shared" si="5"/>
        <v>OK</v>
      </c>
    </row>
    <row r="46" spans="1:26">
      <c r="A46" s="10" t="s">
        <v>178</v>
      </c>
      <c r="B46" s="10" t="s">
        <v>212</v>
      </c>
      <c r="C46" s="10">
        <v>2070</v>
      </c>
      <c r="D46" s="10">
        <v>3</v>
      </c>
      <c r="E46" s="10" t="s">
        <v>148</v>
      </c>
      <c r="F46" s="18">
        <f>INDEX('Hoja 2 - Histórico'!$P$8:$P$19,MATCH(D46,'Hoja 2 - Histórico'!$N$8:$N$19,0))</f>
        <v>110.1</v>
      </c>
      <c r="G46" s="12">
        <v>109</v>
      </c>
      <c r="H46" s="18">
        <f t="shared" si="3"/>
        <v>-1.0999999999999943</v>
      </c>
      <c r="I46" s="17">
        <f t="shared" si="4"/>
        <v>-9.9909173478655248E-3</v>
      </c>
      <c r="J46" s="10" t="s">
        <v>56</v>
      </c>
      <c r="K46" s="10" t="s">
        <v>223</v>
      </c>
      <c r="L46" s="10" t="s">
        <v>224</v>
      </c>
      <c r="M46" s="10" t="s">
        <v>225</v>
      </c>
      <c r="N46" s="15" t="str">
        <f t="shared" si="5"/>
        <v>OK</v>
      </c>
      <c r="P46" s="74" t="s">
        <v>226</v>
      </c>
      <c r="Q46" s="75"/>
      <c r="R46" s="75"/>
      <c r="S46" s="75"/>
      <c r="T46" s="75"/>
      <c r="U46" s="75"/>
      <c r="V46" s="75"/>
      <c r="W46" s="75"/>
      <c r="X46" s="75"/>
      <c r="Y46" s="75"/>
      <c r="Z46" s="76"/>
    </row>
    <row r="47" spans="1:26">
      <c r="A47" s="10" t="s">
        <v>178</v>
      </c>
      <c r="B47" s="10" t="s">
        <v>212</v>
      </c>
      <c r="C47" s="10">
        <v>2070</v>
      </c>
      <c r="D47" s="10">
        <v>4</v>
      </c>
      <c r="E47" s="10" t="s">
        <v>149</v>
      </c>
      <c r="F47" s="18">
        <f>INDEX('Hoja 2 - Histórico'!$P$8:$P$19,MATCH(D47,'Hoja 2 - Histórico'!$N$8:$N$19,0))</f>
        <v>154.96999999999991</v>
      </c>
      <c r="G47" s="12">
        <v>153.4</v>
      </c>
      <c r="H47" s="18">
        <f t="shared" si="3"/>
        <v>-1.5699999999999079</v>
      </c>
      <c r="I47" s="17">
        <f t="shared" si="4"/>
        <v>-1.0130993095437238E-2</v>
      </c>
      <c r="J47" s="10" t="s">
        <v>56</v>
      </c>
      <c r="K47" s="10" t="s">
        <v>223</v>
      </c>
      <c r="L47" s="10" t="s">
        <v>224</v>
      </c>
      <c r="M47" s="10" t="s">
        <v>225</v>
      </c>
      <c r="N47" s="15" t="str">
        <f t="shared" si="5"/>
        <v>OK</v>
      </c>
      <c r="P47" s="77"/>
      <c r="Q47" s="78"/>
      <c r="R47" s="78"/>
      <c r="S47" s="78"/>
      <c r="T47" s="78"/>
      <c r="U47" s="78"/>
      <c r="V47" s="78"/>
      <c r="W47" s="78"/>
      <c r="X47" s="78"/>
      <c r="Y47" s="78"/>
      <c r="Z47" s="79"/>
    </row>
    <row r="48" spans="1:26">
      <c r="A48" s="10" t="s">
        <v>178</v>
      </c>
      <c r="B48" s="10" t="s">
        <v>212</v>
      </c>
      <c r="C48" s="10">
        <v>2070</v>
      </c>
      <c r="D48" s="10">
        <v>5</v>
      </c>
      <c r="E48" s="10" t="s">
        <v>151</v>
      </c>
      <c r="F48" s="18">
        <f>INDEX('Hoja 2 - Histórico'!$P$8:$P$19,MATCH(D48,'Hoja 2 - Histórico'!$N$8:$N$19,0))</f>
        <v>139.87333333333333</v>
      </c>
      <c r="G48" s="12">
        <v>138.5</v>
      </c>
      <c r="H48" s="18">
        <f t="shared" si="3"/>
        <v>-1.3733333333333348</v>
      </c>
      <c r="I48" s="17">
        <f t="shared" si="4"/>
        <v>-9.8184071302607236E-3</v>
      </c>
      <c r="J48" s="10" t="s">
        <v>56</v>
      </c>
      <c r="K48" s="10" t="s">
        <v>223</v>
      </c>
      <c r="L48" s="10" t="s">
        <v>224</v>
      </c>
      <c r="M48" s="10" t="s">
        <v>225</v>
      </c>
      <c r="N48" s="15" t="str">
        <f t="shared" si="5"/>
        <v>OK</v>
      </c>
      <c r="P48" s="77"/>
      <c r="Q48" s="78"/>
      <c r="R48" s="78"/>
      <c r="S48" s="78"/>
      <c r="T48" s="78"/>
      <c r="U48" s="78"/>
      <c r="V48" s="78"/>
      <c r="W48" s="78"/>
      <c r="X48" s="78"/>
      <c r="Y48" s="78"/>
      <c r="Z48" s="79"/>
    </row>
    <row r="49" spans="1:26">
      <c r="A49" s="10" t="s">
        <v>178</v>
      </c>
      <c r="B49" s="10" t="s">
        <v>212</v>
      </c>
      <c r="C49" s="10">
        <v>2070</v>
      </c>
      <c r="D49" s="10">
        <v>6</v>
      </c>
      <c r="E49" s="10" t="s">
        <v>152</v>
      </c>
      <c r="F49" s="18">
        <f>INDEX('Hoja 2 - Histórico'!$P$8:$P$19,MATCH(D49,'Hoja 2 - Histórico'!$N$8:$N$19,0))</f>
        <v>84.956666666666663</v>
      </c>
      <c r="G49" s="12">
        <v>84.1</v>
      </c>
      <c r="H49" s="18">
        <f t="shared" si="3"/>
        <v>-0.85666666666666913</v>
      </c>
      <c r="I49" s="17">
        <f t="shared" si="4"/>
        <v>-1.0083572017106789E-2</v>
      </c>
      <c r="J49" s="10" t="s">
        <v>56</v>
      </c>
      <c r="K49" s="10" t="s">
        <v>223</v>
      </c>
      <c r="L49" s="10" t="s">
        <v>224</v>
      </c>
      <c r="M49" s="10" t="s">
        <v>225</v>
      </c>
      <c r="N49" s="15" t="str">
        <f t="shared" si="5"/>
        <v>OK</v>
      </c>
      <c r="P49" s="77"/>
      <c r="Q49" s="78"/>
      <c r="R49" s="78"/>
      <c r="S49" s="78"/>
      <c r="T49" s="78"/>
      <c r="U49" s="78"/>
      <c r="V49" s="78"/>
      <c r="W49" s="78"/>
      <c r="X49" s="78"/>
      <c r="Y49" s="78"/>
      <c r="Z49" s="79"/>
    </row>
    <row r="50" spans="1:26">
      <c r="A50" s="10" t="s">
        <v>178</v>
      </c>
      <c r="B50" s="10" t="s">
        <v>212</v>
      </c>
      <c r="C50" s="10">
        <v>2070</v>
      </c>
      <c r="D50" s="10">
        <v>7</v>
      </c>
      <c r="E50" s="10" t="s">
        <v>153</v>
      </c>
      <c r="F50" s="18">
        <f>INDEX('Hoja 2 - Histórico'!$P$8:$P$19,MATCH(D50,'Hoja 2 - Histórico'!$N$8:$N$19,0))</f>
        <v>70.029999999999987</v>
      </c>
      <c r="G50" s="12">
        <v>69.3</v>
      </c>
      <c r="H50" s="18">
        <f t="shared" si="3"/>
        <v>-0.72999999999998977</v>
      </c>
      <c r="I50" s="17">
        <f t="shared" si="4"/>
        <v>-1.0424103955447522E-2</v>
      </c>
      <c r="J50" s="10" t="s">
        <v>56</v>
      </c>
      <c r="K50" s="10" t="s">
        <v>223</v>
      </c>
      <c r="L50" s="10" t="s">
        <v>224</v>
      </c>
      <c r="M50" s="10" t="s">
        <v>225</v>
      </c>
      <c r="N50" s="15" t="str">
        <f t="shared" si="5"/>
        <v>OK</v>
      </c>
      <c r="P50" s="80"/>
      <c r="Q50" s="81"/>
      <c r="R50" s="81"/>
      <c r="S50" s="81"/>
      <c r="T50" s="81"/>
      <c r="U50" s="81"/>
      <c r="V50" s="81"/>
      <c r="W50" s="81"/>
      <c r="X50" s="81"/>
      <c r="Y50" s="81"/>
      <c r="Z50" s="82"/>
    </row>
    <row r="51" spans="1:26">
      <c r="A51" s="10" t="s">
        <v>178</v>
      </c>
      <c r="B51" s="10" t="s">
        <v>212</v>
      </c>
      <c r="C51" s="10">
        <v>2070</v>
      </c>
      <c r="D51" s="10">
        <v>8</v>
      </c>
      <c r="E51" s="10" t="s">
        <v>154</v>
      </c>
      <c r="F51" s="18">
        <f>INDEX('Hoja 2 - Histórico'!$P$8:$P$19,MATCH(D51,'Hoja 2 - Histórico'!$N$8:$N$19,0))</f>
        <v>75.036666666666662</v>
      </c>
      <c r="G51" s="12">
        <v>74.3</v>
      </c>
      <c r="H51" s="18">
        <f t="shared" si="3"/>
        <v>-0.73666666666666458</v>
      </c>
      <c r="I51" s="17">
        <f t="shared" si="4"/>
        <v>-9.8174225933987565E-3</v>
      </c>
      <c r="J51" s="10" t="s">
        <v>56</v>
      </c>
      <c r="K51" s="10" t="s">
        <v>223</v>
      </c>
      <c r="L51" s="10" t="s">
        <v>224</v>
      </c>
      <c r="M51" s="10" t="s">
        <v>225</v>
      </c>
      <c r="N51" s="15" t="str">
        <f t="shared" si="5"/>
        <v>OK</v>
      </c>
    </row>
    <row r="52" spans="1:26">
      <c r="A52" s="10" t="s">
        <v>178</v>
      </c>
      <c r="B52" s="10" t="s">
        <v>212</v>
      </c>
      <c r="C52" s="10">
        <v>2070</v>
      </c>
      <c r="D52" s="10">
        <v>9</v>
      </c>
      <c r="E52" s="10" t="s">
        <v>155</v>
      </c>
      <c r="F52" s="18">
        <f>INDEX('Hoja 2 - Histórico'!$P$8:$P$19,MATCH(D52,'Hoja 2 - Histórico'!$N$8:$N$19,0))</f>
        <v>119.9666666666667</v>
      </c>
      <c r="G52" s="12">
        <v>118.8</v>
      </c>
      <c r="H52" s="18">
        <f t="shared" ref="H52:H83" si="6">G52-F52</f>
        <v>-1.1666666666666998</v>
      </c>
      <c r="I52" s="17">
        <f t="shared" ref="I52:I83" si="7">IF(F52=0,"",(G52-F52)/F52)</f>
        <v>-9.7249235898863532E-3</v>
      </c>
      <c r="J52" s="10" t="s">
        <v>56</v>
      </c>
      <c r="K52" s="10" t="s">
        <v>223</v>
      </c>
      <c r="L52" s="10" t="s">
        <v>224</v>
      </c>
      <c r="M52" s="10" t="s">
        <v>225</v>
      </c>
      <c r="N52" s="15" t="str">
        <f t="shared" ref="N52:N83" si="8">IF(OR(G52&lt;0,J52&lt;&gt;"mm",K52="",L52=""),"REVISAR","OK")</f>
        <v>OK</v>
      </c>
    </row>
    <row r="53" spans="1:26">
      <c r="A53" s="10" t="s">
        <v>178</v>
      </c>
      <c r="B53" s="10" t="s">
        <v>212</v>
      </c>
      <c r="C53" s="10">
        <v>2070</v>
      </c>
      <c r="D53" s="10">
        <v>10</v>
      </c>
      <c r="E53" s="10" t="s">
        <v>157</v>
      </c>
      <c r="F53" s="18">
        <f>INDEX('Hoja 2 - Histórico'!$P$8:$P$19,MATCH(D53,'Hoja 2 - Histórico'!$N$8:$N$19,0))</f>
        <v>159.85333333333332</v>
      </c>
      <c r="G53" s="12">
        <v>158.30000000000001</v>
      </c>
      <c r="H53" s="18">
        <f t="shared" si="6"/>
        <v>-1.5533333333333132</v>
      </c>
      <c r="I53" s="17">
        <f t="shared" si="7"/>
        <v>-9.7172408040702724E-3</v>
      </c>
      <c r="J53" s="10" t="s">
        <v>56</v>
      </c>
      <c r="K53" s="10" t="s">
        <v>223</v>
      </c>
      <c r="L53" s="10" t="s">
        <v>224</v>
      </c>
      <c r="M53" s="10" t="s">
        <v>225</v>
      </c>
      <c r="N53" s="15" t="str">
        <f t="shared" si="8"/>
        <v>OK</v>
      </c>
    </row>
    <row r="54" spans="1:26">
      <c r="A54" s="10" t="s">
        <v>178</v>
      </c>
      <c r="B54" s="10" t="s">
        <v>212</v>
      </c>
      <c r="C54" s="10">
        <v>2070</v>
      </c>
      <c r="D54" s="10">
        <v>11</v>
      </c>
      <c r="E54" s="10" t="s">
        <v>158</v>
      </c>
      <c r="F54" s="18">
        <f>INDEX('Hoja 2 - Histórico'!$P$8:$P$19,MATCH(D54,'Hoja 2 - Histórico'!$N$8:$N$19,0))</f>
        <v>134.94666666666666</v>
      </c>
      <c r="G54" s="12">
        <v>133.6</v>
      </c>
      <c r="H54" s="18">
        <f t="shared" si="6"/>
        <v>-1.346666666666664</v>
      </c>
      <c r="I54" s="17">
        <f t="shared" si="7"/>
        <v>-9.9792510621479896E-3</v>
      </c>
      <c r="J54" s="10" t="s">
        <v>56</v>
      </c>
      <c r="K54" s="10" t="s">
        <v>223</v>
      </c>
      <c r="L54" s="10" t="s">
        <v>224</v>
      </c>
      <c r="M54" s="10" t="s">
        <v>225</v>
      </c>
      <c r="N54" s="15" t="str">
        <f t="shared" si="8"/>
        <v>OK</v>
      </c>
    </row>
    <row r="55" spans="1:26">
      <c r="A55" s="10" t="s">
        <v>178</v>
      </c>
      <c r="B55" s="10" t="s">
        <v>212</v>
      </c>
      <c r="C55" s="10">
        <v>2070</v>
      </c>
      <c r="D55" s="10">
        <v>12</v>
      </c>
      <c r="E55" s="10" t="s">
        <v>164</v>
      </c>
      <c r="F55" s="18">
        <f>INDEX('Hoja 2 - Histórico'!$P$8:$P$19,MATCH(D55,'Hoja 2 - Histórico'!$N$8:$N$19,0))</f>
        <v>80.049999999999983</v>
      </c>
      <c r="G55" s="12">
        <v>79.2</v>
      </c>
      <c r="H55" s="18">
        <f t="shared" si="6"/>
        <v>-0.8499999999999801</v>
      </c>
      <c r="I55" s="17">
        <f t="shared" si="7"/>
        <v>-1.0618363522798005E-2</v>
      </c>
      <c r="J55" s="10" t="s">
        <v>56</v>
      </c>
      <c r="K55" s="10" t="s">
        <v>223</v>
      </c>
      <c r="L55" s="10" t="s">
        <v>224</v>
      </c>
      <c r="M55" s="10" t="s">
        <v>225</v>
      </c>
      <c r="N55" s="15" t="str">
        <f t="shared" si="8"/>
        <v>OK</v>
      </c>
    </row>
    <row r="56" spans="1:26">
      <c r="A56" s="10" t="s">
        <v>178</v>
      </c>
      <c r="B56" s="10" t="s">
        <v>213</v>
      </c>
      <c r="C56" s="10">
        <v>2090</v>
      </c>
      <c r="D56" s="10">
        <v>1</v>
      </c>
      <c r="E56" s="10" t="s">
        <v>134</v>
      </c>
      <c r="F56" s="18">
        <f>INDEX('Hoja 2 - Histórico'!$P$8:$P$19,MATCH(D56,'Hoja 2 - Histórico'!$N$8:$N$19,0))</f>
        <v>64.923333333333346</v>
      </c>
      <c r="G56" s="12">
        <v>63.6</v>
      </c>
      <c r="H56" s="18">
        <f t="shared" si="6"/>
        <v>-1.3233333333333448</v>
      </c>
      <c r="I56" s="17">
        <f t="shared" si="7"/>
        <v>-2.0383015864866426E-2</v>
      </c>
      <c r="J56" s="10" t="s">
        <v>56</v>
      </c>
      <c r="K56" s="10" t="s">
        <v>223</v>
      </c>
      <c r="L56" s="10" t="s">
        <v>224</v>
      </c>
      <c r="M56" s="10" t="s">
        <v>225</v>
      </c>
      <c r="N56" s="15" t="str">
        <f t="shared" si="8"/>
        <v>OK</v>
      </c>
    </row>
    <row r="57" spans="1:26">
      <c r="A57" s="10" t="s">
        <v>178</v>
      </c>
      <c r="B57" s="10" t="s">
        <v>213</v>
      </c>
      <c r="C57" s="10">
        <v>2090</v>
      </c>
      <c r="D57" s="10">
        <v>2</v>
      </c>
      <c r="E57" s="10" t="s">
        <v>141</v>
      </c>
      <c r="F57" s="18">
        <f>INDEX('Hoja 2 - Histórico'!$P$8:$P$19,MATCH(D57,'Hoja 2 - Histórico'!$N$8:$N$19,0))</f>
        <v>75.066666666666677</v>
      </c>
      <c r="G57" s="12">
        <v>73.599999999999994</v>
      </c>
      <c r="H57" s="18">
        <f t="shared" si="6"/>
        <v>-1.4666666666666828</v>
      </c>
      <c r="I57" s="17">
        <f t="shared" si="7"/>
        <v>-1.9538188277087247E-2</v>
      </c>
      <c r="J57" s="10" t="s">
        <v>56</v>
      </c>
      <c r="K57" s="10" t="s">
        <v>223</v>
      </c>
      <c r="L57" s="10" t="s">
        <v>224</v>
      </c>
      <c r="M57" s="10" t="s">
        <v>225</v>
      </c>
      <c r="N57" s="15" t="str">
        <f t="shared" si="8"/>
        <v>OK</v>
      </c>
    </row>
    <row r="58" spans="1:26">
      <c r="A58" s="10" t="s">
        <v>178</v>
      </c>
      <c r="B58" s="10" t="s">
        <v>213</v>
      </c>
      <c r="C58" s="10">
        <v>2090</v>
      </c>
      <c r="D58" s="10">
        <v>3</v>
      </c>
      <c r="E58" s="10" t="s">
        <v>148</v>
      </c>
      <c r="F58" s="18">
        <f>INDEX('Hoja 2 - Histórico'!$P$8:$P$19,MATCH(D58,'Hoja 2 - Histórico'!$N$8:$N$19,0))</f>
        <v>110.1</v>
      </c>
      <c r="G58" s="12">
        <v>107.9</v>
      </c>
      <c r="H58" s="18">
        <f t="shared" si="6"/>
        <v>-2.1999999999999886</v>
      </c>
      <c r="I58" s="17">
        <f t="shared" si="7"/>
        <v>-1.998183469573105E-2</v>
      </c>
      <c r="J58" s="10" t="s">
        <v>56</v>
      </c>
      <c r="K58" s="10" t="s">
        <v>223</v>
      </c>
      <c r="L58" s="10" t="s">
        <v>224</v>
      </c>
      <c r="M58" s="10" t="s">
        <v>225</v>
      </c>
      <c r="N58" s="15" t="str">
        <f t="shared" si="8"/>
        <v>OK</v>
      </c>
    </row>
    <row r="59" spans="1:26">
      <c r="A59" s="10" t="s">
        <v>178</v>
      </c>
      <c r="B59" s="10" t="s">
        <v>213</v>
      </c>
      <c r="C59" s="10">
        <v>2090</v>
      </c>
      <c r="D59" s="10">
        <v>4</v>
      </c>
      <c r="E59" s="10" t="s">
        <v>149</v>
      </c>
      <c r="F59" s="18">
        <f>INDEX('Hoja 2 - Histórico'!$P$8:$P$19,MATCH(D59,'Hoja 2 - Histórico'!$N$8:$N$19,0))</f>
        <v>154.96999999999991</v>
      </c>
      <c r="G59" s="12">
        <v>151.9</v>
      </c>
      <c r="H59" s="18">
        <f t="shared" si="6"/>
        <v>-3.0699999999999079</v>
      </c>
      <c r="I59" s="17">
        <f t="shared" si="7"/>
        <v>-1.9810285861779117E-2</v>
      </c>
      <c r="J59" s="10" t="s">
        <v>56</v>
      </c>
      <c r="K59" s="10" t="s">
        <v>223</v>
      </c>
      <c r="L59" s="10" t="s">
        <v>224</v>
      </c>
      <c r="M59" s="10" t="s">
        <v>225</v>
      </c>
      <c r="N59" s="15" t="str">
        <f t="shared" si="8"/>
        <v>OK</v>
      </c>
    </row>
    <row r="60" spans="1:26">
      <c r="A60" s="10" t="s">
        <v>178</v>
      </c>
      <c r="B60" s="10" t="s">
        <v>213</v>
      </c>
      <c r="C60" s="10">
        <v>2090</v>
      </c>
      <c r="D60" s="10">
        <v>5</v>
      </c>
      <c r="E60" s="10" t="s">
        <v>151</v>
      </c>
      <c r="F60" s="18">
        <f>INDEX('Hoja 2 - Histórico'!$P$8:$P$19,MATCH(D60,'Hoja 2 - Histórico'!$N$8:$N$19,0))</f>
        <v>139.87333333333333</v>
      </c>
      <c r="G60" s="12">
        <v>137.1</v>
      </c>
      <c r="H60" s="18">
        <f t="shared" si="6"/>
        <v>-2.7733333333333405</v>
      </c>
      <c r="I60" s="17">
        <f t="shared" si="7"/>
        <v>-1.9827462942662459E-2</v>
      </c>
      <c r="J60" s="10" t="s">
        <v>56</v>
      </c>
      <c r="K60" s="10" t="s">
        <v>223</v>
      </c>
      <c r="L60" s="10" t="s">
        <v>224</v>
      </c>
      <c r="M60" s="10" t="s">
        <v>225</v>
      </c>
      <c r="N60" s="15" t="str">
        <f t="shared" si="8"/>
        <v>OK</v>
      </c>
    </row>
    <row r="61" spans="1:26">
      <c r="A61" s="10" t="s">
        <v>178</v>
      </c>
      <c r="B61" s="10" t="s">
        <v>213</v>
      </c>
      <c r="C61" s="10">
        <v>2090</v>
      </c>
      <c r="D61" s="10">
        <v>6</v>
      </c>
      <c r="E61" s="10" t="s">
        <v>152</v>
      </c>
      <c r="F61" s="18">
        <f>INDEX('Hoja 2 - Histórico'!$P$8:$P$19,MATCH(D61,'Hoja 2 - Histórico'!$N$8:$N$19,0))</f>
        <v>84.956666666666663</v>
      </c>
      <c r="G61" s="12">
        <v>83.3</v>
      </c>
      <c r="H61" s="18">
        <f t="shared" si="6"/>
        <v>-1.6566666666666663</v>
      </c>
      <c r="I61" s="17">
        <f t="shared" si="7"/>
        <v>-1.9500137324910734E-2</v>
      </c>
      <c r="J61" s="10" t="s">
        <v>56</v>
      </c>
      <c r="K61" s="10" t="s">
        <v>223</v>
      </c>
      <c r="L61" s="10" t="s">
        <v>224</v>
      </c>
      <c r="M61" s="10" t="s">
        <v>225</v>
      </c>
      <c r="N61" s="15" t="str">
        <f t="shared" si="8"/>
        <v>OK</v>
      </c>
    </row>
    <row r="62" spans="1:26">
      <c r="A62" s="10" t="s">
        <v>178</v>
      </c>
      <c r="B62" s="10" t="s">
        <v>213</v>
      </c>
      <c r="C62" s="10">
        <v>2090</v>
      </c>
      <c r="D62" s="10">
        <v>7</v>
      </c>
      <c r="E62" s="10" t="s">
        <v>153</v>
      </c>
      <c r="F62" s="18">
        <f>INDEX('Hoja 2 - Histórico'!$P$8:$P$19,MATCH(D62,'Hoja 2 - Histórico'!$N$8:$N$19,0))</f>
        <v>70.029999999999987</v>
      </c>
      <c r="G62" s="12">
        <v>68.599999999999994</v>
      </c>
      <c r="H62" s="18">
        <f t="shared" si="6"/>
        <v>-1.4299999999999926</v>
      </c>
      <c r="I62" s="17">
        <f t="shared" si="7"/>
        <v>-2.0419820077109709E-2</v>
      </c>
      <c r="J62" s="10" t="s">
        <v>56</v>
      </c>
      <c r="K62" s="10" t="s">
        <v>223</v>
      </c>
      <c r="L62" s="10" t="s">
        <v>224</v>
      </c>
      <c r="M62" s="10" t="s">
        <v>225</v>
      </c>
      <c r="N62" s="15" t="str">
        <f t="shared" si="8"/>
        <v>OK</v>
      </c>
    </row>
    <row r="63" spans="1:26">
      <c r="A63" s="10" t="s">
        <v>178</v>
      </c>
      <c r="B63" s="10" t="s">
        <v>213</v>
      </c>
      <c r="C63" s="10">
        <v>2090</v>
      </c>
      <c r="D63" s="10">
        <v>8</v>
      </c>
      <c r="E63" s="10" t="s">
        <v>154</v>
      </c>
      <c r="F63" s="18">
        <f>INDEX('Hoja 2 - Histórico'!$P$8:$P$19,MATCH(D63,'Hoja 2 - Histórico'!$N$8:$N$19,0))</f>
        <v>75.036666666666662</v>
      </c>
      <c r="G63" s="12">
        <v>73.5</v>
      </c>
      <c r="H63" s="18">
        <f t="shared" si="6"/>
        <v>-1.5366666666666617</v>
      </c>
      <c r="I63" s="17">
        <f t="shared" si="7"/>
        <v>-2.0478876993469796E-2</v>
      </c>
      <c r="J63" s="10" t="s">
        <v>56</v>
      </c>
      <c r="K63" s="10" t="s">
        <v>223</v>
      </c>
      <c r="L63" s="10" t="s">
        <v>224</v>
      </c>
      <c r="M63" s="10" t="s">
        <v>225</v>
      </c>
      <c r="N63" s="15" t="str">
        <f t="shared" si="8"/>
        <v>OK</v>
      </c>
    </row>
    <row r="64" spans="1:26">
      <c r="A64" s="10" t="s">
        <v>178</v>
      </c>
      <c r="B64" s="10" t="s">
        <v>213</v>
      </c>
      <c r="C64" s="10">
        <v>2090</v>
      </c>
      <c r="D64" s="10">
        <v>9</v>
      </c>
      <c r="E64" s="10" t="s">
        <v>155</v>
      </c>
      <c r="F64" s="18">
        <f>INDEX('Hoja 2 - Histórico'!$P$8:$P$19,MATCH(D64,'Hoja 2 - Histórico'!$N$8:$N$19,0))</f>
        <v>119.9666666666667</v>
      </c>
      <c r="G64" s="12">
        <v>117.6</v>
      </c>
      <c r="H64" s="18">
        <f t="shared" si="6"/>
        <v>-2.3666666666667027</v>
      </c>
      <c r="I64" s="17">
        <f t="shared" si="7"/>
        <v>-1.9727702139483484E-2</v>
      </c>
      <c r="J64" s="10" t="s">
        <v>56</v>
      </c>
      <c r="K64" s="10" t="s">
        <v>223</v>
      </c>
      <c r="L64" s="10" t="s">
        <v>224</v>
      </c>
      <c r="M64" s="10" t="s">
        <v>225</v>
      </c>
      <c r="N64" s="15" t="str">
        <f t="shared" si="8"/>
        <v>OK</v>
      </c>
    </row>
    <row r="65" spans="1:14">
      <c r="A65" s="10" t="s">
        <v>178</v>
      </c>
      <c r="B65" s="10" t="s">
        <v>213</v>
      </c>
      <c r="C65" s="10">
        <v>2090</v>
      </c>
      <c r="D65" s="10">
        <v>10</v>
      </c>
      <c r="E65" s="10" t="s">
        <v>157</v>
      </c>
      <c r="F65" s="18">
        <f>INDEX('Hoja 2 - Histórico'!$P$8:$P$19,MATCH(D65,'Hoja 2 - Histórico'!$N$8:$N$19,0))</f>
        <v>159.85333333333332</v>
      </c>
      <c r="G65" s="12">
        <v>156.69999999999999</v>
      </c>
      <c r="H65" s="18">
        <f t="shared" si="6"/>
        <v>-3.153333333333336</v>
      </c>
      <c r="I65" s="17">
        <f t="shared" si="7"/>
        <v>-1.9726415881224472E-2</v>
      </c>
      <c r="J65" s="10" t="s">
        <v>56</v>
      </c>
      <c r="K65" s="10" t="s">
        <v>223</v>
      </c>
      <c r="L65" s="10" t="s">
        <v>224</v>
      </c>
      <c r="M65" s="10" t="s">
        <v>225</v>
      </c>
      <c r="N65" s="15" t="str">
        <f t="shared" si="8"/>
        <v>OK</v>
      </c>
    </row>
    <row r="66" spans="1:14">
      <c r="A66" s="10" t="s">
        <v>178</v>
      </c>
      <c r="B66" s="10" t="s">
        <v>213</v>
      </c>
      <c r="C66" s="10">
        <v>2090</v>
      </c>
      <c r="D66" s="10">
        <v>11</v>
      </c>
      <c r="E66" s="10" t="s">
        <v>158</v>
      </c>
      <c r="F66" s="18">
        <f>INDEX('Hoja 2 - Histórico'!$P$8:$P$19,MATCH(D66,'Hoja 2 - Histórico'!$N$8:$N$19,0))</f>
        <v>134.94666666666666</v>
      </c>
      <c r="G66" s="12">
        <v>132.19999999999999</v>
      </c>
      <c r="H66" s="18">
        <f t="shared" si="6"/>
        <v>-2.7466666666666697</v>
      </c>
      <c r="I66" s="17">
        <f t="shared" si="7"/>
        <v>-2.0353719988143486E-2</v>
      </c>
      <c r="J66" s="10" t="s">
        <v>56</v>
      </c>
      <c r="K66" s="10" t="s">
        <v>223</v>
      </c>
      <c r="L66" s="10" t="s">
        <v>224</v>
      </c>
      <c r="M66" s="10" t="s">
        <v>225</v>
      </c>
      <c r="N66" s="15" t="str">
        <f t="shared" si="8"/>
        <v>OK</v>
      </c>
    </row>
    <row r="67" spans="1:14">
      <c r="A67" s="10" t="s">
        <v>178</v>
      </c>
      <c r="B67" s="10" t="s">
        <v>213</v>
      </c>
      <c r="C67" s="10">
        <v>2090</v>
      </c>
      <c r="D67" s="10">
        <v>12</v>
      </c>
      <c r="E67" s="10" t="s">
        <v>164</v>
      </c>
      <c r="F67" s="18">
        <f>INDEX('Hoja 2 - Histórico'!$P$8:$P$19,MATCH(D67,'Hoja 2 - Histórico'!$N$8:$N$19,0))</f>
        <v>80.049999999999983</v>
      </c>
      <c r="G67" s="12">
        <v>78.400000000000006</v>
      </c>
      <c r="H67" s="18">
        <f t="shared" si="6"/>
        <v>-1.6499999999999773</v>
      </c>
      <c r="I67" s="17">
        <f t="shared" si="7"/>
        <v>-2.0612117426608092E-2</v>
      </c>
      <c r="J67" s="10" t="s">
        <v>56</v>
      </c>
      <c r="K67" s="10" t="s">
        <v>223</v>
      </c>
      <c r="L67" s="10" t="s">
        <v>224</v>
      </c>
      <c r="M67" s="10" t="s">
        <v>225</v>
      </c>
      <c r="N67" s="15" t="str">
        <f t="shared" si="8"/>
        <v>OK</v>
      </c>
    </row>
    <row r="68" spans="1:14">
      <c r="A68" s="10" t="s">
        <v>179</v>
      </c>
      <c r="B68" s="10" t="s">
        <v>189</v>
      </c>
      <c r="C68" s="10">
        <v>2030</v>
      </c>
      <c r="D68" s="10">
        <v>1</v>
      </c>
      <c r="E68" s="10" t="s">
        <v>134</v>
      </c>
      <c r="F68" s="18">
        <f>INDEX('Hoja 2 - Histórico'!$P$8:$P$19,MATCH(D68,'Hoja 2 - Histórico'!$N$8:$N$19,0))</f>
        <v>64.923333333333346</v>
      </c>
      <c r="G68" s="12">
        <v>65.599999999999994</v>
      </c>
      <c r="H68" s="18">
        <f t="shared" si="6"/>
        <v>0.6766666666666481</v>
      </c>
      <c r="I68" s="17">
        <f t="shared" si="7"/>
        <v>1.0422549673974144E-2</v>
      </c>
      <c r="J68" s="10" t="s">
        <v>56</v>
      </c>
      <c r="K68" s="10" t="s">
        <v>223</v>
      </c>
      <c r="L68" s="10" t="s">
        <v>224</v>
      </c>
      <c r="M68" s="10" t="s">
        <v>225</v>
      </c>
      <c r="N68" s="15" t="str">
        <f t="shared" si="8"/>
        <v>OK</v>
      </c>
    </row>
    <row r="69" spans="1:14">
      <c r="A69" s="10" t="s">
        <v>179</v>
      </c>
      <c r="B69" s="10" t="s">
        <v>189</v>
      </c>
      <c r="C69" s="10">
        <v>2030</v>
      </c>
      <c r="D69" s="10">
        <v>2</v>
      </c>
      <c r="E69" s="10" t="s">
        <v>141</v>
      </c>
      <c r="F69" s="18">
        <f>INDEX('Hoja 2 - Histórico'!$P$8:$P$19,MATCH(D69,'Hoja 2 - Histórico'!$N$8:$N$19,0))</f>
        <v>75.066666666666677</v>
      </c>
      <c r="G69" s="12">
        <v>75.8</v>
      </c>
      <c r="H69" s="18">
        <f t="shared" si="6"/>
        <v>0.73333333333332007</v>
      </c>
      <c r="I69" s="17">
        <f t="shared" si="7"/>
        <v>9.769094138543339E-3</v>
      </c>
      <c r="J69" s="10" t="s">
        <v>56</v>
      </c>
      <c r="K69" s="10" t="s">
        <v>223</v>
      </c>
      <c r="L69" s="10" t="s">
        <v>224</v>
      </c>
      <c r="M69" s="10" t="s">
        <v>225</v>
      </c>
      <c r="N69" s="15" t="str">
        <f t="shared" si="8"/>
        <v>OK</v>
      </c>
    </row>
    <row r="70" spans="1:14">
      <c r="A70" s="10" t="s">
        <v>179</v>
      </c>
      <c r="B70" s="10" t="s">
        <v>189</v>
      </c>
      <c r="C70" s="10">
        <v>2030</v>
      </c>
      <c r="D70" s="10">
        <v>3</v>
      </c>
      <c r="E70" s="10" t="s">
        <v>148</v>
      </c>
      <c r="F70" s="18">
        <f>INDEX('Hoja 2 - Histórico'!$P$8:$P$19,MATCH(D70,'Hoja 2 - Histórico'!$N$8:$N$19,0))</f>
        <v>110.1</v>
      </c>
      <c r="G70" s="12">
        <v>111.2</v>
      </c>
      <c r="H70" s="18">
        <f t="shared" si="6"/>
        <v>1.1000000000000085</v>
      </c>
      <c r="I70" s="17">
        <f t="shared" si="7"/>
        <v>9.9909173478656549E-3</v>
      </c>
      <c r="J70" s="10" t="s">
        <v>56</v>
      </c>
      <c r="K70" s="10" t="s">
        <v>223</v>
      </c>
      <c r="L70" s="10" t="s">
        <v>224</v>
      </c>
      <c r="M70" s="10" t="s">
        <v>225</v>
      </c>
      <c r="N70" s="15" t="str">
        <f t="shared" si="8"/>
        <v>OK</v>
      </c>
    </row>
    <row r="71" spans="1:14">
      <c r="A71" s="10" t="s">
        <v>179</v>
      </c>
      <c r="B71" s="10" t="s">
        <v>189</v>
      </c>
      <c r="C71" s="10">
        <v>2030</v>
      </c>
      <c r="D71" s="10">
        <v>4</v>
      </c>
      <c r="E71" s="10" t="s">
        <v>149</v>
      </c>
      <c r="F71" s="18">
        <f>INDEX('Hoja 2 - Histórico'!$P$8:$P$19,MATCH(D71,'Hoja 2 - Histórico'!$N$8:$N$19,0))</f>
        <v>154.96999999999991</v>
      </c>
      <c r="G71" s="12">
        <v>156.5</v>
      </c>
      <c r="H71" s="18">
        <f t="shared" si="6"/>
        <v>1.5300000000000864</v>
      </c>
      <c r="I71" s="17">
        <f t="shared" si="7"/>
        <v>9.8728786216692732E-3</v>
      </c>
      <c r="J71" s="10" t="s">
        <v>56</v>
      </c>
      <c r="K71" s="10" t="s">
        <v>223</v>
      </c>
      <c r="L71" s="10" t="s">
        <v>224</v>
      </c>
      <c r="M71" s="10" t="s">
        <v>225</v>
      </c>
      <c r="N71" s="15" t="str">
        <f t="shared" si="8"/>
        <v>OK</v>
      </c>
    </row>
    <row r="72" spans="1:14">
      <c r="A72" s="10" t="s">
        <v>179</v>
      </c>
      <c r="B72" s="10" t="s">
        <v>189</v>
      </c>
      <c r="C72" s="10">
        <v>2030</v>
      </c>
      <c r="D72" s="10">
        <v>5</v>
      </c>
      <c r="E72" s="10" t="s">
        <v>151</v>
      </c>
      <c r="F72" s="18">
        <f>INDEX('Hoja 2 - Histórico'!$P$8:$P$19,MATCH(D72,'Hoja 2 - Histórico'!$N$8:$N$19,0))</f>
        <v>139.87333333333333</v>
      </c>
      <c r="G72" s="12">
        <v>141.30000000000001</v>
      </c>
      <c r="H72" s="18">
        <f t="shared" si="6"/>
        <v>1.4266666666666765</v>
      </c>
      <c r="I72" s="17">
        <f t="shared" si="7"/>
        <v>1.0199704494542753E-2</v>
      </c>
      <c r="J72" s="10" t="s">
        <v>56</v>
      </c>
      <c r="K72" s="10" t="s">
        <v>223</v>
      </c>
      <c r="L72" s="10" t="s">
        <v>224</v>
      </c>
      <c r="M72" s="10" t="s">
        <v>225</v>
      </c>
      <c r="N72" s="15" t="str">
        <f t="shared" si="8"/>
        <v>OK</v>
      </c>
    </row>
    <row r="73" spans="1:14">
      <c r="A73" s="10" t="s">
        <v>179</v>
      </c>
      <c r="B73" s="10" t="s">
        <v>189</v>
      </c>
      <c r="C73" s="10">
        <v>2030</v>
      </c>
      <c r="D73" s="10">
        <v>6</v>
      </c>
      <c r="E73" s="10" t="s">
        <v>152</v>
      </c>
      <c r="F73" s="18">
        <f>INDEX('Hoja 2 - Histórico'!$P$8:$P$19,MATCH(D73,'Hoja 2 - Histórico'!$N$8:$N$19,0))</f>
        <v>84.956666666666663</v>
      </c>
      <c r="G73" s="12">
        <v>85.8</v>
      </c>
      <c r="H73" s="18">
        <f t="shared" si="6"/>
        <v>0.84333333333333371</v>
      </c>
      <c r="I73" s="17">
        <f t="shared" si="7"/>
        <v>9.9266292619766983E-3</v>
      </c>
      <c r="J73" s="10" t="s">
        <v>56</v>
      </c>
      <c r="K73" s="10" t="s">
        <v>223</v>
      </c>
      <c r="L73" s="10" t="s">
        <v>224</v>
      </c>
      <c r="M73" s="10" t="s">
        <v>225</v>
      </c>
      <c r="N73" s="15" t="str">
        <f t="shared" si="8"/>
        <v>OK</v>
      </c>
    </row>
    <row r="74" spans="1:14">
      <c r="A74" s="10" t="s">
        <v>179</v>
      </c>
      <c r="B74" s="10" t="s">
        <v>189</v>
      </c>
      <c r="C74" s="10">
        <v>2030</v>
      </c>
      <c r="D74" s="10">
        <v>7</v>
      </c>
      <c r="E74" s="10" t="s">
        <v>153</v>
      </c>
      <c r="F74" s="18">
        <f>INDEX('Hoja 2 - Histórico'!$P$8:$P$19,MATCH(D74,'Hoja 2 - Histórico'!$N$8:$N$19,0))</f>
        <v>70.029999999999987</v>
      </c>
      <c r="G74" s="12">
        <v>70.7</v>
      </c>
      <c r="H74" s="18">
        <f t="shared" si="6"/>
        <v>0.67000000000001592</v>
      </c>
      <c r="I74" s="17">
        <f t="shared" si="7"/>
        <v>9.5673282878768525E-3</v>
      </c>
      <c r="J74" s="10" t="s">
        <v>56</v>
      </c>
      <c r="K74" s="10" t="s">
        <v>223</v>
      </c>
      <c r="L74" s="10" t="s">
        <v>224</v>
      </c>
      <c r="M74" s="10" t="s">
        <v>225</v>
      </c>
      <c r="N74" s="15" t="str">
        <f t="shared" si="8"/>
        <v>OK</v>
      </c>
    </row>
    <row r="75" spans="1:14">
      <c r="A75" s="10" t="s">
        <v>179</v>
      </c>
      <c r="B75" s="10" t="s">
        <v>189</v>
      </c>
      <c r="C75" s="10">
        <v>2030</v>
      </c>
      <c r="D75" s="10">
        <v>8</v>
      </c>
      <c r="E75" s="10" t="s">
        <v>154</v>
      </c>
      <c r="F75" s="18">
        <f>INDEX('Hoja 2 - Histórico'!$P$8:$P$19,MATCH(D75,'Hoja 2 - Histórico'!$N$8:$N$19,0))</f>
        <v>75.036666666666662</v>
      </c>
      <c r="G75" s="12">
        <v>75.8</v>
      </c>
      <c r="H75" s="18">
        <f t="shared" si="6"/>
        <v>0.76333333333333542</v>
      </c>
      <c r="I75" s="17">
        <f t="shared" si="7"/>
        <v>1.0172804406734513E-2</v>
      </c>
      <c r="J75" s="10" t="s">
        <v>56</v>
      </c>
      <c r="K75" s="10" t="s">
        <v>223</v>
      </c>
      <c r="L75" s="10" t="s">
        <v>224</v>
      </c>
      <c r="M75" s="10" t="s">
        <v>225</v>
      </c>
      <c r="N75" s="15" t="str">
        <f t="shared" si="8"/>
        <v>OK</v>
      </c>
    </row>
    <row r="76" spans="1:14">
      <c r="A76" s="10" t="s">
        <v>179</v>
      </c>
      <c r="B76" s="10" t="s">
        <v>189</v>
      </c>
      <c r="C76" s="10">
        <v>2030</v>
      </c>
      <c r="D76" s="10">
        <v>9</v>
      </c>
      <c r="E76" s="10" t="s">
        <v>155</v>
      </c>
      <c r="F76" s="18">
        <f>INDEX('Hoja 2 - Histórico'!$P$8:$P$19,MATCH(D76,'Hoja 2 - Histórico'!$N$8:$N$19,0))</f>
        <v>119.9666666666667</v>
      </c>
      <c r="G76" s="12">
        <v>121.2</v>
      </c>
      <c r="H76" s="18">
        <f t="shared" si="6"/>
        <v>1.2333333333333059</v>
      </c>
      <c r="I76" s="17">
        <f t="shared" si="7"/>
        <v>1.0280633509307909E-2</v>
      </c>
      <c r="J76" s="10" t="s">
        <v>56</v>
      </c>
      <c r="K76" s="10" t="s">
        <v>223</v>
      </c>
      <c r="L76" s="10" t="s">
        <v>224</v>
      </c>
      <c r="M76" s="10" t="s">
        <v>225</v>
      </c>
      <c r="N76" s="15" t="str">
        <f t="shared" si="8"/>
        <v>OK</v>
      </c>
    </row>
    <row r="77" spans="1:14">
      <c r="A77" s="10" t="s">
        <v>179</v>
      </c>
      <c r="B77" s="10" t="s">
        <v>189</v>
      </c>
      <c r="C77" s="10">
        <v>2030</v>
      </c>
      <c r="D77" s="10">
        <v>10</v>
      </c>
      <c r="E77" s="10" t="s">
        <v>157</v>
      </c>
      <c r="F77" s="18">
        <f>INDEX('Hoja 2 - Histórico'!$P$8:$P$19,MATCH(D77,'Hoja 2 - Histórico'!$N$8:$N$19,0))</f>
        <v>159.85333333333332</v>
      </c>
      <c r="G77" s="12">
        <v>161.5</v>
      </c>
      <c r="H77" s="18">
        <f t="shared" si="6"/>
        <v>1.6466666666666754</v>
      </c>
      <c r="I77" s="17">
        <f t="shared" si="7"/>
        <v>1.0301109350237774E-2</v>
      </c>
      <c r="J77" s="10" t="s">
        <v>56</v>
      </c>
      <c r="K77" s="10" t="s">
        <v>223</v>
      </c>
      <c r="L77" s="10" t="s">
        <v>224</v>
      </c>
      <c r="M77" s="10" t="s">
        <v>225</v>
      </c>
      <c r="N77" s="15" t="str">
        <f t="shared" si="8"/>
        <v>OK</v>
      </c>
    </row>
    <row r="78" spans="1:14">
      <c r="A78" s="10" t="s">
        <v>179</v>
      </c>
      <c r="B78" s="10" t="s">
        <v>189</v>
      </c>
      <c r="C78" s="10">
        <v>2030</v>
      </c>
      <c r="D78" s="10">
        <v>11</v>
      </c>
      <c r="E78" s="10" t="s">
        <v>158</v>
      </c>
      <c r="F78" s="18">
        <f>INDEX('Hoja 2 - Histórico'!$P$8:$P$19,MATCH(D78,'Hoja 2 - Histórico'!$N$8:$N$19,0))</f>
        <v>134.94666666666666</v>
      </c>
      <c r="G78" s="12">
        <v>136.30000000000001</v>
      </c>
      <c r="H78" s="18">
        <f t="shared" si="6"/>
        <v>1.353333333333353</v>
      </c>
      <c r="I78" s="17">
        <f t="shared" si="7"/>
        <v>1.0028653295129086E-2</v>
      </c>
      <c r="J78" s="10" t="s">
        <v>56</v>
      </c>
      <c r="K78" s="10" t="s">
        <v>223</v>
      </c>
      <c r="L78" s="10" t="s">
        <v>224</v>
      </c>
      <c r="M78" s="10" t="s">
        <v>225</v>
      </c>
      <c r="N78" s="15" t="str">
        <f t="shared" si="8"/>
        <v>OK</v>
      </c>
    </row>
    <row r="79" spans="1:14">
      <c r="A79" s="10" t="s">
        <v>179</v>
      </c>
      <c r="B79" s="10" t="s">
        <v>189</v>
      </c>
      <c r="C79" s="10">
        <v>2030</v>
      </c>
      <c r="D79" s="10">
        <v>12</v>
      </c>
      <c r="E79" s="10" t="s">
        <v>164</v>
      </c>
      <c r="F79" s="18">
        <f>INDEX('Hoja 2 - Histórico'!$P$8:$P$19,MATCH(D79,'Hoja 2 - Histórico'!$N$8:$N$19,0))</f>
        <v>80.049999999999983</v>
      </c>
      <c r="G79" s="12">
        <v>80.900000000000006</v>
      </c>
      <c r="H79" s="18">
        <f t="shared" si="6"/>
        <v>0.85000000000002274</v>
      </c>
      <c r="I79" s="17">
        <f t="shared" si="7"/>
        <v>1.0618363522798538E-2</v>
      </c>
      <c r="J79" s="10" t="s">
        <v>56</v>
      </c>
      <c r="K79" s="10" t="s">
        <v>223</v>
      </c>
      <c r="L79" s="10" t="s">
        <v>224</v>
      </c>
      <c r="M79" s="10" t="s">
        <v>225</v>
      </c>
      <c r="N79" s="15" t="str">
        <f t="shared" si="8"/>
        <v>OK</v>
      </c>
    </row>
    <row r="80" spans="1:14">
      <c r="A80" s="10" t="s">
        <v>179</v>
      </c>
      <c r="B80" s="10" t="s">
        <v>199</v>
      </c>
      <c r="C80" s="10">
        <v>2050</v>
      </c>
      <c r="D80" s="10">
        <v>1</v>
      </c>
      <c r="E80" s="10" t="s">
        <v>134</v>
      </c>
      <c r="F80" s="18">
        <f>INDEX('Hoja 2 - Histórico'!$P$8:$P$19,MATCH(D80,'Hoja 2 - Histórico'!$N$8:$N$19,0))</f>
        <v>64.923333333333346</v>
      </c>
      <c r="G80" s="12">
        <v>63.6</v>
      </c>
      <c r="H80" s="18">
        <f t="shared" si="6"/>
        <v>-1.3233333333333448</v>
      </c>
      <c r="I80" s="17">
        <f t="shared" si="7"/>
        <v>-2.0383015864866426E-2</v>
      </c>
      <c r="J80" s="10" t="s">
        <v>56</v>
      </c>
      <c r="K80" s="10" t="s">
        <v>223</v>
      </c>
      <c r="L80" s="10" t="s">
        <v>224</v>
      </c>
      <c r="M80" s="10" t="s">
        <v>225</v>
      </c>
      <c r="N80" s="15" t="str">
        <f t="shared" si="8"/>
        <v>OK</v>
      </c>
    </row>
    <row r="81" spans="1:14">
      <c r="A81" s="10" t="s">
        <v>179</v>
      </c>
      <c r="B81" s="10" t="s">
        <v>199</v>
      </c>
      <c r="C81" s="10">
        <v>2050</v>
      </c>
      <c r="D81" s="10">
        <v>2</v>
      </c>
      <c r="E81" s="10" t="s">
        <v>141</v>
      </c>
      <c r="F81" s="18">
        <f>INDEX('Hoja 2 - Histórico'!$P$8:$P$19,MATCH(D81,'Hoja 2 - Histórico'!$N$8:$N$19,0))</f>
        <v>75.066666666666677</v>
      </c>
      <c r="G81" s="12">
        <v>73.599999999999994</v>
      </c>
      <c r="H81" s="18">
        <f t="shared" si="6"/>
        <v>-1.4666666666666828</v>
      </c>
      <c r="I81" s="17">
        <f t="shared" si="7"/>
        <v>-1.9538188277087247E-2</v>
      </c>
      <c r="J81" s="10" t="s">
        <v>56</v>
      </c>
      <c r="K81" s="10" t="s">
        <v>223</v>
      </c>
      <c r="L81" s="10" t="s">
        <v>224</v>
      </c>
      <c r="M81" s="10" t="s">
        <v>225</v>
      </c>
      <c r="N81" s="15" t="str">
        <f t="shared" si="8"/>
        <v>OK</v>
      </c>
    </row>
    <row r="82" spans="1:14">
      <c r="A82" s="10" t="s">
        <v>179</v>
      </c>
      <c r="B82" s="10" t="s">
        <v>199</v>
      </c>
      <c r="C82" s="10">
        <v>2050</v>
      </c>
      <c r="D82" s="10">
        <v>3</v>
      </c>
      <c r="E82" s="10" t="s">
        <v>148</v>
      </c>
      <c r="F82" s="18">
        <f>INDEX('Hoja 2 - Histórico'!$P$8:$P$19,MATCH(D82,'Hoja 2 - Histórico'!$N$8:$N$19,0))</f>
        <v>110.1</v>
      </c>
      <c r="G82" s="12">
        <v>107.9</v>
      </c>
      <c r="H82" s="18">
        <f t="shared" si="6"/>
        <v>-2.1999999999999886</v>
      </c>
      <c r="I82" s="17">
        <f t="shared" si="7"/>
        <v>-1.998183469573105E-2</v>
      </c>
      <c r="J82" s="10" t="s">
        <v>56</v>
      </c>
      <c r="K82" s="10" t="s">
        <v>223</v>
      </c>
      <c r="L82" s="10" t="s">
        <v>224</v>
      </c>
      <c r="M82" s="10" t="s">
        <v>225</v>
      </c>
      <c r="N82" s="15" t="str">
        <f t="shared" si="8"/>
        <v>OK</v>
      </c>
    </row>
    <row r="83" spans="1:14">
      <c r="A83" s="10" t="s">
        <v>179</v>
      </c>
      <c r="B83" s="10" t="s">
        <v>199</v>
      </c>
      <c r="C83" s="10">
        <v>2050</v>
      </c>
      <c r="D83" s="10">
        <v>4</v>
      </c>
      <c r="E83" s="10" t="s">
        <v>149</v>
      </c>
      <c r="F83" s="18">
        <f>INDEX('Hoja 2 - Histórico'!$P$8:$P$19,MATCH(D83,'Hoja 2 - Histórico'!$N$8:$N$19,0))</f>
        <v>154.96999999999991</v>
      </c>
      <c r="G83" s="12">
        <v>151.9</v>
      </c>
      <c r="H83" s="18">
        <f t="shared" si="6"/>
        <v>-3.0699999999999079</v>
      </c>
      <c r="I83" s="17">
        <f t="shared" si="7"/>
        <v>-1.9810285861779117E-2</v>
      </c>
      <c r="J83" s="10" t="s">
        <v>56</v>
      </c>
      <c r="K83" s="10" t="s">
        <v>223</v>
      </c>
      <c r="L83" s="10" t="s">
        <v>224</v>
      </c>
      <c r="M83" s="10" t="s">
        <v>225</v>
      </c>
      <c r="N83" s="15" t="str">
        <f t="shared" si="8"/>
        <v>OK</v>
      </c>
    </row>
    <row r="84" spans="1:14">
      <c r="A84" s="10" t="s">
        <v>179</v>
      </c>
      <c r="B84" s="10" t="s">
        <v>199</v>
      </c>
      <c r="C84" s="10">
        <v>2050</v>
      </c>
      <c r="D84" s="10">
        <v>5</v>
      </c>
      <c r="E84" s="10" t="s">
        <v>151</v>
      </c>
      <c r="F84" s="18">
        <f>INDEX('Hoja 2 - Histórico'!$P$8:$P$19,MATCH(D84,'Hoja 2 - Histórico'!$N$8:$N$19,0))</f>
        <v>139.87333333333333</v>
      </c>
      <c r="G84" s="12">
        <v>137.1</v>
      </c>
      <c r="H84" s="18">
        <f t="shared" ref="H84:H115" si="9">G84-F84</f>
        <v>-2.7733333333333405</v>
      </c>
      <c r="I84" s="17">
        <f t="shared" ref="I84:I115" si="10">IF(F84=0,"",(G84-F84)/F84)</f>
        <v>-1.9827462942662459E-2</v>
      </c>
      <c r="J84" s="10" t="s">
        <v>56</v>
      </c>
      <c r="K84" s="10" t="s">
        <v>223</v>
      </c>
      <c r="L84" s="10" t="s">
        <v>224</v>
      </c>
      <c r="M84" s="10" t="s">
        <v>225</v>
      </c>
      <c r="N84" s="15" t="str">
        <f t="shared" ref="N84:N115" si="11">IF(OR(G84&lt;0,J84&lt;&gt;"mm",K84="",L84=""),"REVISAR","OK")</f>
        <v>OK</v>
      </c>
    </row>
    <row r="85" spans="1:14">
      <c r="A85" s="10" t="s">
        <v>179</v>
      </c>
      <c r="B85" s="10" t="s">
        <v>199</v>
      </c>
      <c r="C85" s="10">
        <v>2050</v>
      </c>
      <c r="D85" s="10">
        <v>6</v>
      </c>
      <c r="E85" s="10" t="s">
        <v>152</v>
      </c>
      <c r="F85" s="18">
        <f>INDEX('Hoja 2 - Histórico'!$P$8:$P$19,MATCH(D85,'Hoja 2 - Histórico'!$N$8:$N$19,0))</f>
        <v>84.956666666666663</v>
      </c>
      <c r="G85" s="12">
        <v>83.3</v>
      </c>
      <c r="H85" s="18">
        <f t="shared" si="9"/>
        <v>-1.6566666666666663</v>
      </c>
      <c r="I85" s="17">
        <f t="shared" si="10"/>
        <v>-1.9500137324910734E-2</v>
      </c>
      <c r="J85" s="10" t="s">
        <v>56</v>
      </c>
      <c r="K85" s="10" t="s">
        <v>223</v>
      </c>
      <c r="L85" s="10" t="s">
        <v>224</v>
      </c>
      <c r="M85" s="10" t="s">
        <v>225</v>
      </c>
      <c r="N85" s="15" t="str">
        <f t="shared" si="11"/>
        <v>OK</v>
      </c>
    </row>
    <row r="86" spans="1:14">
      <c r="A86" s="10" t="s">
        <v>179</v>
      </c>
      <c r="B86" s="10" t="s">
        <v>199</v>
      </c>
      <c r="C86" s="10">
        <v>2050</v>
      </c>
      <c r="D86" s="10">
        <v>7</v>
      </c>
      <c r="E86" s="10" t="s">
        <v>153</v>
      </c>
      <c r="F86" s="18">
        <f>INDEX('Hoja 2 - Histórico'!$P$8:$P$19,MATCH(D86,'Hoja 2 - Histórico'!$N$8:$N$19,0))</f>
        <v>70.029999999999987</v>
      </c>
      <c r="G86" s="12">
        <v>68.599999999999994</v>
      </c>
      <c r="H86" s="18">
        <f t="shared" si="9"/>
        <v>-1.4299999999999926</v>
      </c>
      <c r="I86" s="17">
        <f t="shared" si="10"/>
        <v>-2.0419820077109709E-2</v>
      </c>
      <c r="J86" s="10" t="s">
        <v>56</v>
      </c>
      <c r="K86" s="10" t="s">
        <v>223</v>
      </c>
      <c r="L86" s="10" t="s">
        <v>224</v>
      </c>
      <c r="M86" s="10" t="s">
        <v>225</v>
      </c>
      <c r="N86" s="15" t="str">
        <f t="shared" si="11"/>
        <v>OK</v>
      </c>
    </row>
    <row r="87" spans="1:14">
      <c r="A87" s="10" t="s">
        <v>179</v>
      </c>
      <c r="B87" s="10" t="s">
        <v>199</v>
      </c>
      <c r="C87" s="10">
        <v>2050</v>
      </c>
      <c r="D87" s="10">
        <v>8</v>
      </c>
      <c r="E87" s="10" t="s">
        <v>154</v>
      </c>
      <c r="F87" s="18">
        <f>INDEX('Hoja 2 - Histórico'!$P$8:$P$19,MATCH(D87,'Hoja 2 - Histórico'!$N$8:$N$19,0))</f>
        <v>75.036666666666662</v>
      </c>
      <c r="G87" s="12">
        <v>73.5</v>
      </c>
      <c r="H87" s="18">
        <f t="shared" si="9"/>
        <v>-1.5366666666666617</v>
      </c>
      <c r="I87" s="17">
        <f t="shared" si="10"/>
        <v>-2.0478876993469796E-2</v>
      </c>
      <c r="J87" s="10" t="s">
        <v>56</v>
      </c>
      <c r="K87" s="10" t="s">
        <v>223</v>
      </c>
      <c r="L87" s="10" t="s">
        <v>224</v>
      </c>
      <c r="M87" s="10" t="s">
        <v>225</v>
      </c>
      <c r="N87" s="15" t="str">
        <f t="shared" si="11"/>
        <v>OK</v>
      </c>
    </row>
    <row r="88" spans="1:14">
      <c r="A88" s="10" t="s">
        <v>179</v>
      </c>
      <c r="B88" s="10" t="s">
        <v>199</v>
      </c>
      <c r="C88" s="10">
        <v>2050</v>
      </c>
      <c r="D88" s="10">
        <v>9</v>
      </c>
      <c r="E88" s="10" t="s">
        <v>155</v>
      </c>
      <c r="F88" s="18">
        <f>INDEX('Hoja 2 - Histórico'!$P$8:$P$19,MATCH(D88,'Hoja 2 - Histórico'!$N$8:$N$19,0))</f>
        <v>119.9666666666667</v>
      </c>
      <c r="G88" s="12">
        <v>117.6</v>
      </c>
      <c r="H88" s="18">
        <f t="shared" si="9"/>
        <v>-2.3666666666667027</v>
      </c>
      <c r="I88" s="17">
        <f t="shared" si="10"/>
        <v>-1.9727702139483484E-2</v>
      </c>
      <c r="J88" s="10" t="s">
        <v>56</v>
      </c>
      <c r="K88" s="10" t="s">
        <v>223</v>
      </c>
      <c r="L88" s="10" t="s">
        <v>224</v>
      </c>
      <c r="M88" s="10" t="s">
        <v>225</v>
      </c>
      <c r="N88" s="15" t="str">
        <f t="shared" si="11"/>
        <v>OK</v>
      </c>
    </row>
    <row r="89" spans="1:14">
      <c r="A89" s="10" t="s">
        <v>179</v>
      </c>
      <c r="B89" s="10" t="s">
        <v>199</v>
      </c>
      <c r="C89" s="10">
        <v>2050</v>
      </c>
      <c r="D89" s="10">
        <v>10</v>
      </c>
      <c r="E89" s="10" t="s">
        <v>157</v>
      </c>
      <c r="F89" s="18">
        <f>INDEX('Hoja 2 - Histórico'!$P$8:$P$19,MATCH(D89,'Hoja 2 - Histórico'!$N$8:$N$19,0))</f>
        <v>159.85333333333332</v>
      </c>
      <c r="G89" s="12">
        <v>156.69999999999999</v>
      </c>
      <c r="H89" s="18">
        <f t="shared" si="9"/>
        <v>-3.153333333333336</v>
      </c>
      <c r="I89" s="17">
        <f t="shared" si="10"/>
        <v>-1.9726415881224472E-2</v>
      </c>
      <c r="J89" s="10" t="s">
        <v>56</v>
      </c>
      <c r="K89" s="10" t="s">
        <v>223</v>
      </c>
      <c r="L89" s="10" t="s">
        <v>224</v>
      </c>
      <c r="M89" s="10" t="s">
        <v>225</v>
      </c>
      <c r="N89" s="15" t="str">
        <f t="shared" si="11"/>
        <v>OK</v>
      </c>
    </row>
    <row r="90" spans="1:14">
      <c r="A90" s="10" t="s">
        <v>179</v>
      </c>
      <c r="B90" s="10" t="s">
        <v>199</v>
      </c>
      <c r="C90" s="10">
        <v>2050</v>
      </c>
      <c r="D90" s="10">
        <v>11</v>
      </c>
      <c r="E90" s="10" t="s">
        <v>158</v>
      </c>
      <c r="F90" s="18">
        <f>INDEX('Hoja 2 - Histórico'!$P$8:$P$19,MATCH(D90,'Hoja 2 - Histórico'!$N$8:$N$19,0))</f>
        <v>134.94666666666666</v>
      </c>
      <c r="G90" s="12">
        <v>132.19999999999999</v>
      </c>
      <c r="H90" s="18">
        <f t="shared" si="9"/>
        <v>-2.7466666666666697</v>
      </c>
      <c r="I90" s="17">
        <f t="shared" si="10"/>
        <v>-2.0353719988143486E-2</v>
      </c>
      <c r="J90" s="10" t="s">
        <v>56</v>
      </c>
      <c r="K90" s="10" t="s">
        <v>223</v>
      </c>
      <c r="L90" s="10" t="s">
        <v>224</v>
      </c>
      <c r="M90" s="10" t="s">
        <v>225</v>
      </c>
      <c r="N90" s="15" t="str">
        <f t="shared" si="11"/>
        <v>OK</v>
      </c>
    </row>
    <row r="91" spans="1:14">
      <c r="A91" s="10" t="s">
        <v>179</v>
      </c>
      <c r="B91" s="10" t="s">
        <v>199</v>
      </c>
      <c r="C91" s="10">
        <v>2050</v>
      </c>
      <c r="D91" s="10">
        <v>12</v>
      </c>
      <c r="E91" s="10" t="s">
        <v>164</v>
      </c>
      <c r="F91" s="18">
        <f>INDEX('Hoja 2 - Histórico'!$P$8:$P$19,MATCH(D91,'Hoja 2 - Histórico'!$N$8:$N$19,0))</f>
        <v>80.049999999999983</v>
      </c>
      <c r="G91" s="12">
        <v>78.400000000000006</v>
      </c>
      <c r="H91" s="18">
        <f t="shared" si="9"/>
        <v>-1.6499999999999773</v>
      </c>
      <c r="I91" s="17">
        <f t="shared" si="10"/>
        <v>-2.0612117426608092E-2</v>
      </c>
      <c r="J91" s="10" t="s">
        <v>56</v>
      </c>
      <c r="K91" s="10" t="s">
        <v>223</v>
      </c>
      <c r="L91" s="10" t="s">
        <v>224</v>
      </c>
      <c r="M91" s="10" t="s">
        <v>225</v>
      </c>
      <c r="N91" s="15" t="str">
        <f t="shared" si="11"/>
        <v>OK</v>
      </c>
    </row>
    <row r="92" spans="1:14">
      <c r="A92" s="10" t="s">
        <v>179</v>
      </c>
      <c r="B92" s="10" t="s">
        <v>212</v>
      </c>
      <c r="C92" s="10">
        <v>2070</v>
      </c>
      <c r="D92" s="10">
        <v>1</v>
      </c>
      <c r="E92" s="10" t="s">
        <v>134</v>
      </c>
      <c r="F92" s="18">
        <f>INDEX('Hoja 2 - Histórico'!$P$8:$P$19,MATCH(D92,'Hoja 2 - Histórico'!$N$8:$N$19,0))</f>
        <v>64.923333333333346</v>
      </c>
      <c r="G92" s="12">
        <v>62.3</v>
      </c>
      <c r="H92" s="18">
        <f t="shared" si="9"/>
        <v>-2.6233333333333491</v>
      </c>
      <c r="I92" s="17">
        <f t="shared" si="10"/>
        <v>-4.0406633465112932E-2</v>
      </c>
      <c r="J92" s="10" t="s">
        <v>56</v>
      </c>
      <c r="K92" s="10" t="s">
        <v>223</v>
      </c>
      <c r="L92" s="10" t="s">
        <v>224</v>
      </c>
      <c r="M92" s="10" t="s">
        <v>225</v>
      </c>
      <c r="N92" s="15" t="str">
        <f t="shared" si="11"/>
        <v>OK</v>
      </c>
    </row>
    <row r="93" spans="1:14">
      <c r="A93" s="10" t="s">
        <v>179</v>
      </c>
      <c r="B93" s="10" t="s">
        <v>212</v>
      </c>
      <c r="C93" s="10">
        <v>2070</v>
      </c>
      <c r="D93" s="10">
        <v>2</v>
      </c>
      <c r="E93" s="10" t="s">
        <v>141</v>
      </c>
      <c r="F93" s="18">
        <f>INDEX('Hoja 2 - Histórico'!$P$8:$P$19,MATCH(D93,'Hoja 2 - Histórico'!$N$8:$N$19,0))</f>
        <v>75.066666666666677</v>
      </c>
      <c r="G93" s="12">
        <v>72.099999999999994</v>
      </c>
      <c r="H93" s="18">
        <f t="shared" si="9"/>
        <v>-2.9666666666666828</v>
      </c>
      <c r="I93" s="17">
        <f t="shared" si="10"/>
        <v>-3.9520426287744437E-2</v>
      </c>
      <c r="J93" s="10" t="s">
        <v>56</v>
      </c>
      <c r="K93" s="10" t="s">
        <v>223</v>
      </c>
      <c r="L93" s="10" t="s">
        <v>224</v>
      </c>
      <c r="M93" s="10" t="s">
        <v>225</v>
      </c>
      <c r="N93" s="15" t="str">
        <f t="shared" si="11"/>
        <v>OK</v>
      </c>
    </row>
    <row r="94" spans="1:14">
      <c r="A94" s="10" t="s">
        <v>179</v>
      </c>
      <c r="B94" s="10" t="s">
        <v>212</v>
      </c>
      <c r="C94" s="10">
        <v>2070</v>
      </c>
      <c r="D94" s="10">
        <v>3</v>
      </c>
      <c r="E94" s="10" t="s">
        <v>148</v>
      </c>
      <c r="F94" s="18">
        <f>INDEX('Hoja 2 - Histórico'!$P$8:$P$19,MATCH(D94,'Hoja 2 - Histórico'!$N$8:$N$19,0))</f>
        <v>110.1</v>
      </c>
      <c r="G94" s="12">
        <v>105.7</v>
      </c>
      <c r="H94" s="18">
        <f t="shared" si="9"/>
        <v>-4.3999999999999915</v>
      </c>
      <c r="I94" s="17">
        <f t="shared" si="10"/>
        <v>-3.9963669391462231E-2</v>
      </c>
      <c r="J94" s="10" t="s">
        <v>56</v>
      </c>
      <c r="K94" s="10" t="s">
        <v>223</v>
      </c>
      <c r="L94" s="10" t="s">
        <v>224</v>
      </c>
      <c r="M94" s="10" t="s">
        <v>225</v>
      </c>
      <c r="N94" s="15" t="str">
        <f t="shared" si="11"/>
        <v>OK</v>
      </c>
    </row>
    <row r="95" spans="1:14">
      <c r="A95" s="10" t="s">
        <v>179</v>
      </c>
      <c r="B95" s="10" t="s">
        <v>212</v>
      </c>
      <c r="C95" s="10">
        <v>2070</v>
      </c>
      <c r="D95" s="10">
        <v>4</v>
      </c>
      <c r="E95" s="10" t="s">
        <v>149</v>
      </c>
      <c r="F95" s="18">
        <f>INDEX('Hoja 2 - Histórico'!$P$8:$P$19,MATCH(D95,'Hoja 2 - Histórico'!$N$8:$N$19,0))</f>
        <v>154.96999999999991</v>
      </c>
      <c r="G95" s="12">
        <v>148.80000000000001</v>
      </c>
      <c r="H95" s="18">
        <f t="shared" si="9"/>
        <v>-6.1699999999999022</v>
      </c>
      <c r="I95" s="17">
        <f t="shared" si="10"/>
        <v>-3.981415757888563E-2</v>
      </c>
      <c r="J95" s="10" t="s">
        <v>56</v>
      </c>
      <c r="K95" s="10" t="s">
        <v>223</v>
      </c>
      <c r="L95" s="10" t="s">
        <v>224</v>
      </c>
      <c r="M95" s="10" t="s">
        <v>225</v>
      </c>
      <c r="N95" s="15" t="str">
        <f t="shared" si="11"/>
        <v>OK</v>
      </c>
    </row>
    <row r="96" spans="1:14">
      <c r="A96" s="10" t="s">
        <v>179</v>
      </c>
      <c r="B96" s="10" t="s">
        <v>212</v>
      </c>
      <c r="C96" s="10">
        <v>2070</v>
      </c>
      <c r="D96" s="10">
        <v>5</v>
      </c>
      <c r="E96" s="10" t="s">
        <v>151</v>
      </c>
      <c r="F96" s="18">
        <f>INDEX('Hoja 2 - Histórico'!$P$8:$P$19,MATCH(D96,'Hoja 2 - Histórico'!$N$8:$N$19,0))</f>
        <v>139.87333333333333</v>
      </c>
      <c r="G96" s="12">
        <v>134.30000000000001</v>
      </c>
      <c r="H96" s="18">
        <f t="shared" si="9"/>
        <v>-5.5733333333333235</v>
      </c>
      <c r="I96" s="17">
        <f t="shared" si="10"/>
        <v>-3.9845574567465729E-2</v>
      </c>
      <c r="J96" s="10" t="s">
        <v>56</v>
      </c>
      <c r="K96" s="10" t="s">
        <v>223</v>
      </c>
      <c r="L96" s="10" t="s">
        <v>224</v>
      </c>
      <c r="M96" s="10" t="s">
        <v>225</v>
      </c>
      <c r="N96" s="15" t="str">
        <f t="shared" si="11"/>
        <v>OK</v>
      </c>
    </row>
    <row r="97" spans="1:14">
      <c r="A97" s="10" t="s">
        <v>179</v>
      </c>
      <c r="B97" s="10" t="s">
        <v>212</v>
      </c>
      <c r="C97" s="10">
        <v>2070</v>
      </c>
      <c r="D97" s="10">
        <v>6</v>
      </c>
      <c r="E97" s="10" t="s">
        <v>152</v>
      </c>
      <c r="F97" s="18">
        <f>INDEX('Hoja 2 - Histórico'!$P$8:$P$19,MATCH(D97,'Hoja 2 - Histórico'!$N$8:$N$19,0))</f>
        <v>84.956666666666663</v>
      </c>
      <c r="G97" s="12">
        <v>81.599999999999994</v>
      </c>
      <c r="H97" s="18">
        <f t="shared" si="9"/>
        <v>-3.3566666666666691</v>
      </c>
      <c r="I97" s="17">
        <f t="shared" si="10"/>
        <v>-3.9510338603994222E-2</v>
      </c>
      <c r="J97" s="10" t="s">
        <v>56</v>
      </c>
      <c r="K97" s="10" t="s">
        <v>223</v>
      </c>
      <c r="L97" s="10" t="s">
        <v>224</v>
      </c>
      <c r="M97" s="10" t="s">
        <v>225</v>
      </c>
      <c r="N97" s="15" t="str">
        <f t="shared" si="11"/>
        <v>OK</v>
      </c>
    </row>
    <row r="98" spans="1:14">
      <c r="A98" s="10" t="s">
        <v>179</v>
      </c>
      <c r="B98" s="10" t="s">
        <v>212</v>
      </c>
      <c r="C98" s="10">
        <v>2070</v>
      </c>
      <c r="D98" s="10">
        <v>7</v>
      </c>
      <c r="E98" s="10" t="s">
        <v>153</v>
      </c>
      <c r="F98" s="18">
        <f>INDEX('Hoja 2 - Histórico'!$P$8:$P$19,MATCH(D98,'Hoja 2 - Histórico'!$N$8:$N$19,0))</f>
        <v>70.029999999999987</v>
      </c>
      <c r="G98" s="12">
        <v>67.2</v>
      </c>
      <c r="H98" s="18">
        <f t="shared" si="9"/>
        <v>-2.8299999999999841</v>
      </c>
      <c r="I98" s="17">
        <f t="shared" si="10"/>
        <v>-4.0411252320433882E-2</v>
      </c>
      <c r="J98" s="10" t="s">
        <v>56</v>
      </c>
      <c r="K98" s="10" t="s">
        <v>223</v>
      </c>
      <c r="L98" s="10" t="s">
        <v>224</v>
      </c>
      <c r="M98" s="10" t="s">
        <v>225</v>
      </c>
      <c r="N98" s="15" t="str">
        <f t="shared" si="11"/>
        <v>OK</v>
      </c>
    </row>
    <row r="99" spans="1:14">
      <c r="A99" s="10" t="s">
        <v>179</v>
      </c>
      <c r="B99" s="10" t="s">
        <v>212</v>
      </c>
      <c r="C99" s="10">
        <v>2070</v>
      </c>
      <c r="D99" s="10">
        <v>8</v>
      </c>
      <c r="E99" s="10" t="s">
        <v>154</v>
      </c>
      <c r="F99" s="18">
        <f>INDEX('Hoja 2 - Histórico'!$P$8:$P$19,MATCH(D99,'Hoja 2 - Histórico'!$N$8:$N$19,0))</f>
        <v>75.036666666666662</v>
      </c>
      <c r="G99" s="12">
        <v>72</v>
      </c>
      <c r="H99" s="18">
        <f t="shared" si="9"/>
        <v>-3.0366666666666617</v>
      </c>
      <c r="I99" s="17">
        <f t="shared" si="10"/>
        <v>-4.0469103993603067E-2</v>
      </c>
      <c r="J99" s="10" t="s">
        <v>56</v>
      </c>
      <c r="K99" s="10" t="s">
        <v>223</v>
      </c>
      <c r="L99" s="10" t="s">
        <v>224</v>
      </c>
      <c r="M99" s="10" t="s">
        <v>225</v>
      </c>
      <c r="N99" s="15" t="str">
        <f t="shared" si="11"/>
        <v>OK</v>
      </c>
    </row>
    <row r="100" spans="1:14">
      <c r="A100" s="10" t="s">
        <v>179</v>
      </c>
      <c r="B100" s="10" t="s">
        <v>212</v>
      </c>
      <c r="C100" s="10">
        <v>2070</v>
      </c>
      <c r="D100" s="10">
        <v>9</v>
      </c>
      <c r="E100" s="10" t="s">
        <v>155</v>
      </c>
      <c r="F100" s="18">
        <f>INDEX('Hoja 2 - Histórico'!$P$8:$P$19,MATCH(D100,'Hoja 2 - Histórico'!$N$8:$N$19,0))</f>
        <v>119.9666666666667</v>
      </c>
      <c r="G100" s="12">
        <v>115.2</v>
      </c>
      <c r="H100" s="18">
        <f t="shared" si="9"/>
        <v>-4.7666666666666941</v>
      </c>
      <c r="I100" s="17">
        <f t="shared" si="10"/>
        <v>-3.9733259238677626E-2</v>
      </c>
      <c r="J100" s="10" t="s">
        <v>56</v>
      </c>
      <c r="K100" s="10" t="s">
        <v>223</v>
      </c>
      <c r="L100" s="10" t="s">
        <v>224</v>
      </c>
      <c r="M100" s="10" t="s">
        <v>225</v>
      </c>
      <c r="N100" s="15" t="str">
        <f t="shared" si="11"/>
        <v>OK</v>
      </c>
    </row>
    <row r="101" spans="1:14">
      <c r="A101" s="10" t="s">
        <v>179</v>
      </c>
      <c r="B101" s="10" t="s">
        <v>212</v>
      </c>
      <c r="C101" s="10">
        <v>2070</v>
      </c>
      <c r="D101" s="10">
        <v>10</v>
      </c>
      <c r="E101" s="10" t="s">
        <v>157</v>
      </c>
      <c r="F101" s="18">
        <f>INDEX('Hoja 2 - Histórico'!$P$8:$P$19,MATCH(D101,'Hoja 2 - Histórico'!$N$8:$N$19,0))</f>
        <v>159.85333333333332</v>
      </c>
      <c r="G101" s="12">
        <v>153.5</v>
      </c>
      <c r="H101" s="18">
        <f t="shared" si="9"/>
        <v>-6.3533333333333246</v>
      </c>
      <c r="I101" s="17">
        <f t="shared" si="10"/>
        <v>-3.9744766035532522E-2</v>
      </c>
      <c r="J101" s="10" t="s">
        <v>56</v>
      </c>
      <c r="K101" s="10" t="s">
        <v>223</v>
      </c>
      <c r="L101" s="10" t="s">
        <v>224</v>
      </c>
      <c r="M101" s="10" t="s">
        <v>225</v>
      </c>
      <c r="N101" s="15" t="str">
        <f t="shared" si="11"/>
        <v>OK</v>
      </c>
    </row>
    <row r="102" spans="1:14">
      <c r="A102" s="10" t="s">
        <v>179</v>
      </c>
      <c r="B102" s="10" t="s">
        <v>212</v>
      </c>
      <c r="C102" s="10">
        <v>2070</v>
      </c>
      <c r="D102" s="10">
        <v>11</v>
      </c>
      <c r="E102" s="10" t="s">
        <v>158</v>
      </c>
      <c r="F102" s="18">
        <f>INDEX('Hoja 2 - Histórico'!$P$8:$P$19,MATCH(D102,'Hoja 2 - Histórico'!$N$8:$N$19,0))</f>
        <v>134.94666666666666</v>
      </c>
      <c r="G102" s="12">
        <v>129.5</v>
      </c>
      <c r="H102" s="18">
        <f t="shared" si="9"/>
        <v>-5.4466666666666583</v>
      </c>
      <c r="I102" s="17">
        <f t="shared" si="10"/>
        <v>-4.0361624345420351E-2</v>
      </c>
      <c r="J102" s="10" t="s">
        <v>56</v>
      </c>
      <c r="K102" s="10" t="s">
        <v>223</v>
      </c>
      <c r="L102" s="10" t="s">
        <v>224</v>
      </c>
      <c r="M102" s="10" t="s">
        <v>225</v>
      </c>
      <c r="N102" s="15" t="str">
        <f t="shared" si="11"/>
        <v>OK</v>
      </c>
    </row>
    <row r="103" spans="1:14">
      <c r="A103" s="10" t="s">
        <v>179</v>
      </c>
      <c r="B103" s="10" t="s">
        <v>212</v>
      </c>
      <c r="C103" s="10">
        <v>2070</v>
      </c>
      <c r="D103" s="10">
        <v>12</v>
      </c>
      <c r="E103" s="10" t="s">
        <v>164</v>
      </c>
      <c r="F103" s="18">
        <f>INDEX('Hoja 2 - Histórico'!$P$8:$P$19,MATCH(D103,'Hoja 2 - Histórico'!$N$8:$N$19,0))</f>
        <v>80.049999999999983</v>
      </c>
      <c r="G103" s="12">
        <v>76.8</v>
      </c>
      <c r="H103" s="18">
        <f t="shared" si="9"/>
        <v>-3.2499999999999858</v>
      </c>
      <c r="I103" s="17">
        <f t="shared" si="10"/>
        <v>-4.0599625234228436E-2</v>
      </c>
      <c r="J103" s="10" t="s">
        <v>56</v>
      </c>
      <c r="K103" s="10" t="s">
        <v>223</v>
      </c>
      <c r="L103" s="10" t="s">
        <v>224</v>
      </c>
      <c r="M103" s="10" t="s">
        <v>225</v>
      </c>
      <c r="N103" s="15" t="str">
        <f t="shared" si="11"/>
        <v>OK</v>
      </c>
    </row>
    <row r="104" spans="1:14">
      <c r="A104" s="10" t="s">
        <v>179</v>
      </c>
      <c r="B104" s="10" t="s">
        <v>213</v>
      </c>
      <c r="C104" s="10">
        <v>2090</v>
      </c>
      <c r="D104" s="10">
        <v>1</v>
      </c>
      <c r="E104" s="10" t="s">
        <v>134</v>
      </c>
      <c r="F104" s="18">
        <f>INDEX('Hoja 2 - Histórico'!$P$8:$P$19,MATCH(D104,'Hoja 2 - Histórico'!$N$8:$N$19,0))</f>
        <v>64.923333333333346</v>
      </c>
      <c r="G104" s="12">
        <v>61</v>
      </c>
      <c r="H104" s="18">
        <f t="shared" si="9"/>
        <v>-3.9233333333333462</v>
      </c>
      <c r="I104" s="17">
        <f t="shared" si="10"/>
        <v>-6.0430251065359326E-2</v>
      </c>
      <c r="J104" s="10" t="s">
        <v>56</v>
      </c>
      <c r="K104" s="10" t="s">
        <v>223</v>
      </c>
      <c r="L104" s="10" t="s">
        <v>224</v>
      </c>
      <c r="M104" s="10" t="s">
        <v>225</v>
      </c>
      <c r="N104" s="15" t="str">
        <f t="shared" si="11"/>
        <v>OK</v>
      </c>
    </row>
    <row r="105" spans="1:14">
      <c r="A105" s="10" t="s">
        <v>179</v>
      </c>
      <c r="B105" s="10" t="s">
        <v>213</v>
      </c>
      <c r="C105" s="10">
        <v>2090</v>
      </c>
      <c r="D105" s="10">
        <v>2</v>
      </c>
      <c r="E105" s="10" t="s">
        <v>141</v>
      </c>
      <c r="F105" s="18">
        <f>INDEX('Hoja 2 - Histórico'!$P$8:$P$19,MATCH(D105,'Hoja 2 - Histórico'!$N$8:$N$19,0))</f>
        <v>75.066666666666677</v>
      </c>
      <c r="G105" s="12">
        <v>70.599999999999994</v>
      </c>
      <c r="H105" s="18">
        <f t="shared" si="9"/>
        <v>-4.4666666666666828</v>
      </c>
      <c r="I105" s="17">
        <f t="shared" si="10"/>
        <v>-5.9502664298401627E-2</v>
      </c>
      <c r="J105" s="10" t="s">
        <v>56</v>
      </c>
      <c r="K105" s="10" t="s">
        <v>223</v>
      </c>
      <c r="L105" s="10" t="s">
        <v>224</v>
      </c>
      <c r="M105" s="10" t="s">
        <v>225</v>
      </c>
      <c r="N105" s="15" t="str">
        <f t="shared" si="11"/>
        <v>OK</v>
      </c>
    </row>
    <row r="106" spans="1:14">
      <c r="A106" s="10" t="s">
        <v>179</v>
      </c>
      <c r="B106" s="10" t="s">
        <v>213</v>
      </c>
      <c r="C106" s="10">
        <v>2090</v>
      </c>
      <c r="D106" s="10">
        <v>3</v>
      </c>
      <c r="E106" s="10" t="s">
        <v>148</v>
      </c>
      <c r="F106" s="18">
        <f>INDEX('Hoja 2 - Histórico'!$P$8:$P$19,MATCH(D106,'Hoja 2 - Histórico'!$N$8:$N$19,0))</f>
        <v>110.1</v>
      </c>
      <c r="G106" s="12">
        <v>103.5</v>
      </c>
      <c r="H106" s="18">
        <f t="shared" si="9"/>
        <v>-6.5999999999999943</v>
      </c>
      <c r="I106" s="17">
        <f t="shared" si="10"/>
        <v>-5.9945504087193409E-2</v>
      </c>
      <c r="J106" s="10" t="s">
        <v>56</v>
      </c>
      <c r="K106" s="10" t="s">
        <v>223</v>
      </c>
      <c r="L106" s="10" t="s">
        <v>224</v>
      </c>
      <c r="M106" s="10" t="s">
        <v>225</v>
      </c>
      <c r="N106" s="15" t="str">
        <f t="shared" si="11"/>
        <v>OK</v>
      </c>
    </row>
    <row r="107" spans="1:14">
      <c r="A107" s="10" t="s">
        <v>179</v>
      </c>
      <c r="B107" s="10" t="s">
        <v>213</v>
      </c>
      <c r="C107" s="10">
        <v>2090</v>
      </c>
      <c r="D107" s="10">
        <v>4</v>
      </c>
      <c r="E107" s="10" t="s">
        <v>149</v>
      </c>
      <c r="F107" s="18">
        <f>INDEX('Hoja 2 - Histórico'!$P$8:$P$19,MATCH(D107,'Hoja 2 - Histórico'!$N$8:$N$19,0))</f>
        <v>154.96999999999991</v>
      </c>
      <c r="G107" s="12">
        <v>145.69999999999999</v>
      </c>
      <c r="H107" s="18">
        <f t="shared" si="9"/>
        <v>-9.269999999999925</v>
      </c>
      <c r="I107" s="17">
        <f t="shared" si="10"/>
        <v>-5.9818029295992323E-2</v>
      </c>
      <c r="J107" s="10" t="s">
        <v>56</v>
      </c>
      <c r="K107" s="10" t="s">
        <v>223</v>
      </c>
      <c r="L107" s="10" t="s">
        <v>224</v>
      </c>
      <c r="M107" s="10" t="s">
        <v>225</v>
      </c>
      <c r="N107" s="15" t="str">
        <f t="shared" si="11"/>
        <v>OK</v>
      </c>
    </row>
    <row r="108" spans="1:14">
      <c r="A108" s="10" t="s">
        <v>179</v>
      </c>
      <c r="B108" s="10" t="s">
        <v>213</v>
      </c>
      <c r="C108" s="10">
        <v>2090</v>
      </c>
      <c r="D108" s="10">
        <v>5</v>
      </c>
      <c r="E108" s="10" t="s">
        <v>151</v>
      </c>
      <c r="F108" s="18">
        <f>INDEX('Hoja 2 - Histórico'!$P$8:$P$19,MATCH(D108,'Hoja 2 - Histórico'!$N$8:$N$19,0))</f>
        <v>139.87333333333333</v>
      </c>
      <c r="G108" s="12">
        <v>131.5</v>
      </c>
      <c r="H108" s="18">
        <f t="shared" si="9"/>
        <v>-8.3733333333333348</v>
      </c>
      <c r="I108" s="17">
        <f t="shared" si="10"/>
        <v>-5.9863686192269207E-2</v>
      </c>
      <c r="J108" s="10" t="s">
        <v>56</v>
      </c>
      <c r="K108" s="10" t="s">
        <v>223</v>
      </c>
      <c r="L108" s="10" t="s">
        <v>224</v>
      </c>
      <c r="M108" s="10" t="s">
        <v>225</v>
      </c>
      <c r="N108" s="15" t="str">
        <f t="shared" si="11"/>
        <v>OK</v>
      </c>
    </row>
    <row r="109" spans="1:14">
      <c r="A109" s="10" t="s">
        <v>179</v>
      </c>
      <c r="B109" s="10" t="s">
        <v>213</v>
      </c>
      <c r="C109" s="10">
        <v>2090</v>
      </c>
      <c r="D109" s="10">
        <v>6</v>
      </c>
      <c r="E109" s="10" t="s">
        <v>152</v>
      </c>
      <c r="F109" s="18">
        <f>INDEX('Hoja 2 - Histórico'!$P$8:$P$19,MATCH(D109,'Hoja 2 - Histórico'!$N$8:$N$19,0))</f>
        <v>84.956666666666663</v>
      </c>
      <c r="G109" s="12">
        <v>79.900000000000006</v>
      </c>
      <c r="H109" s="18">
        <f t="shared" si="9"/>
        <v>-5.0566666666666578</v>
      </c>
      <c r="I109" s="17">
        <f t="shared" si="10"/>
        <v>-5.9520539883077546E-2</v>
      </c>
      <c r="J109" s="10" t="s">
        <v>56</v>
      </c>
      <c r="K109" s="10" t="s">
        <v>223</v>
      </c>
      <c r="L109" s="10" t="s">
        <v>224</v>
      </c>
      <c r="M109" s="10" t="s">
        <v>225</v>
      </c>
      <c r="N109" s="15" t="str">
        <f t="shared" si="11"/>
        <v>OK</v>
      </c>
    </row>
    <row r="110" spans="1:14">
      <c r="A110" s="10" t="s">
        <v>179</v>
      </c>
      <c r="B110" s="10" t="s">
        <v>213</v>
      </c>
      <c r="C110" s="10">
        <v>2090</v>
      </c>
      <c r="D110" s="10">
        <v>7</v>
      </c>
      <c r="E110" s="10" t="s">
        <v>153</v>
      </c>
      <c r="F110" s="18">
        <f>INDEX('Hoja 2 - Histórico'!$P$8:$P$19,MATCH(D110,'Hoja 2 - Histórico'!$N$8:$N$19,0))</f>
        <v>70.029999999999987</v>
      </c>
      <c r="G110" s="12">
        <v>65.8</v>
      </c>
      <c r="H110" s="18">
        <f t="shared" si="9"/>
        <v>-4.2299999999999898</v>
      </c>
      <c r="I110" s="17">
        <f t="shared" si="10"/>
        <v>-6.0402684563758254E-2</v>
      </c>
      <c r="J110" s="10" t="s">
        <v>56</v>
      </c>
      <c r="K110" s="10" t="s">
        <v>223</v>
      </c>
      <c r="L110" s="10" t="s">
        <v>224</v>
      </c>
      <c r="M110" s="10" t="s">
        <v>225</v>
      </c>
      <c r="N110" s="15" t="str">
        <f t="shared" si="11"/>
        <v>OK</v>
      </c>
    </row>
    <row r="111" spans="1:14">
      <c r="A111" s="10" t="s">
        <v>179</v>
      </c>
      <c r="B111" s="10" t="s">
        <v>213</v>
      </c>
      <c r="C111" s="10">
        <v>2090</v>
      </c>
      <c r="D111" s="10">
        <v>8</v>
      </c>
      <c r="E111" s="10" t="s">
        <v>154</v>
      </c>
      <c r="F111" s="18">
        <f>INDEX('Hoja 2 - Histórico'!$P$8:$P$19,MATCH(D111,'Hoja 2 - Histórico'!$N$8:$N$19,0))</f>
        <v>75.036666666666662</v>
      </c>
      <c r="G111" s="12">
        <v>70.5</v>
      </c>
      <c r="H111" s="18">
        <f t="shared" si="9"/>
        <v>-4.5366666666666617</v>
      </c>
      <c r="I111" s="17">
        <f t="shared" si="10"/>
        <v>-6.0459330993736335E-2</v>
      </c>
      <c r="J111" s="10" t="s">
        <v>56</v>
      </c>
      <c r="K111" s="10" t="s">
        <v>223</v>
      </c>
      <c r="L111" s="10" t="s">
        <v>224</v>
      </c>
      <c r="M111" s="10" t="s">
        <v>225</v>
      </c>
      <c r="N111" s="15" t="str">
        <f t="shared" si="11"/>
        <v>OK</v>
      </c>
    </row>
    <row r="112" spans="1:14">
      <c r="A112" s="10" t="s">
        <v>179</v>
      </c>
      <c r="B112" s="10" t="s">
        <v>213</v>
      </c>
      <c r="C112" s="10">
        <v>2090</v>
      </c>
      <c r="D112" s="10">
        <v>9</v>
      </c>
      <c r="E112" s="10" t="s">
        <v>155</v>
      </c>
      <c r="F112" s="18">
        <f>INDEX('Hoja 2 - Histórico'!$P$8:$P$19,MATCH(D112,'Hoja 2 - Histórico'!$N$8:$N$19,0))</f>
        <v>119.9666666666667</v>
      </c>
      <c r="G112" s="12">
        <v>112.8</v>
      </c>
      <c r="H112" s="18">
        <f t="shared" si="9"/>
        <v>-7.1666666666666998</v>
      </c>
      <c r="I112" s="17">
        <f t="shared" si="10"/>
        <v>-5.973881633787189E-2</v>
      </c>
      <c r="J112" s="10" t="s">
        <v>56</v>
      </c>
      <c r="K112" s="10" t="s">
        <v>223</v>
      </c>
      <c r="L112" s="10" t="s">
        <v>224</v>
      </c>
      <c r="M112" s="10" t="s">
        <v>225</v>
      </c>
      <c r="N112" s="15" t="str">
        <f t="shared" si="11"/>
        <v>OK</v>
      </c>
    </row>
    <row r="113" spans="1:14">
      <c r="A113" s="10" t="s">
        <v>179</v>
      </c>
      <c r="B113" s="10" t="s">
        <v>213</v>
      </c>
      <c r="C113" s="10">
        <v>2090</v>
      </c>
      <c r="D113" s="10">
        <v>10</v>
      </c>
      <c r="E113" s="10" t="s">
        <v>157</v>
      </c>
      <c r="F113" s="18">
        <f>INDEX('Hoja 2 - Histórico'!$P$8:$P$19,MATCH(D113,'Hoja 2 - Histórico'!$N$8:$N$19,0))</f>
        <v>159.85333333333332</v>
      </c>
      <c r="G113" s="12">
        <v>150.30000000000001</v>
      </c>
      <c r="H113" s="18">
        <f t="shared" si="9"/>
        <v>-9.5533333333333132</v>
      </c>
      <c r="I113" s="17">
        <f t="shared" si="10"/>
        <v>-5.9763116189840565E-2</v>
      </c>
      <c r="J113" s="10" t="s">
        <v>56</v>
      </c>
      <c r="K113" s="10" t="s">
        <v>223</v>
      </c>
      <c r="L113" s="10" t="s">
        <v>224</v>
      </c>
      <c r="M113" s="10" t="s">
        <v>225</v>
      </c>
      <c r="N113" s="15" t="str">
        <f t="shared" si="11"/>
        <v>OK</v>
      </c>
    </row>
    <row r="114" spans="1:14">
      <c r="A114" s="10" t="s">
        <v>179</v>
      </c>
      <c r="B114" s="10" t="s">
        <v>213</v>
      </c>
      <c r="C114" s="10">
        <v>2090</v>
      </c>
      <c r="D114" s="10">
        <v>11</v>
      </c>
      <c r="E114" s="10" t="s">
        <v>158</v>
      </c>
      <c r="F114" s="18">
        <f>INDEX('Hoja 2 - Histórico'!$P$8:$P$19,MATCH(D114,'Hoja 2 - Histórico'!$N$8:$N$19,0))</f>
        <v>134.94666666666666</v>
      </c>
      <c r="G114" s="12">
        <v>126.8</v>
      </c>
      <c r="H114" s="18">
        <f t="shared" si="9"/>
        <v>-8.1466666666666612</v>
      </c>
      <c r="I114" s="17">
        <f t="shared" si="10"/>
        <v>-6.0369528702697323E-2</v>
      </c>
      <c r="J114" s="10" t="s">
        <v>56</v>
      </c>
      <c r="K114" s="10" t="s">
        <v>223</v>
      </c>
      <c r="L114" s="10" t="s">
        <v>224</v>
      </c>
      <c r="M114" s="10" t="s">
        <v>225</v>
      </c>
      <c r="N114" s="15" t="str">
        <f t="shared" si="11"/>
        <v>OK</v>
      </c>
    </row>
    <row r="115" spans="1:14">
      <c r="A115" s="10" t="s">
        <v>179</v>
      </c>
      <c r="B115" s="10" t="s">
        <v>213</v>
      </c>
      <c r="C115" s="10">
        <v>2090</v>
      </c>
      <c r="D115" s="10">
        <v>12</v>
      </c>
      <c r="E115" s="10" t="s">
        <v>164</v>
      </c>
      <c r="F115" s="18">
        <f>INDEX('Hoja 2 - Histórico'!$P$8:$P$19,MATCH(D115,'Hoja 2 - Histórico'!$N$8:$N$19,0))</f>
        <v>80.049999999999983</v>
      </c>
      <c r="G115" s="12">
        <v>75.2</v>
      </c>
      <c r="H115" s="18">
        <f t="shared" si="9"/>
        <v>-4.8499999999999801</v>
      </c>
      <c r="I115" s="17">
        <f t="shared" si="10"/>
        <v>-6.0587133041848609E-2</v>
      </c>
      <c r="J115" s="10" t="s">
        <v>56</v>
      </c>
      <c r="K115" s="10" t="s">
        <v>223</v>
      </c>
      <c r="L115" s="10" t="s">
        <v>224</v>
      </c>
      <c r="M115" s="10" t="s">
        <v>225</v>
      </c>
      <c r="N115" s="15" t="str">
        <f t="shared" si="11"/>
        <v>OK</v>
      </c>
    </row>
    <row r="116" spans="1:14">
      <c r="A116" s="10" t="s">
        <v>180</v>
      </c>
      <c r="B116" s="10" t="s">
        <v>189</v>
      </c>
      <c r="C116" s="10">
        <v>2030</v>
      </c>
      <c r="D116" s="10">
        <v>1</v>
      </c>
      <c r="E116" s="10" t="s">
        <v>134</v>
      </c>
      <c r="F116" s="18">
        <f>INDEX('Hoja 2 - Histórico'!$P$8:$P$19,MATCH(D116,'Hoja 2 - Histórico'!$N$8:$N$19,0))</f>
        <v>64.923333333333346</v>
      </c>
      <c r="G116" s="12">
        <v>64.3</v>
      </c>
      <c r="H116" s="18">
        <f t="shared" ref="H116:H147" si="12">G116-F116</f>
        <v>-0.62333333333334906</v>
      </c>
      <c r="I116" s="17">
        <f t="shared" ref="I116:I147" si="13">IF(F116=0,"",(G116-F116)/F116)</f>
        <v>-9.6010679262722529E-3</v>
      </c>
      <c r="J116" s="10" t="s">
        <v>56</v>
      </c>
      <c r="K116" s="10" t="s">
        <v>223</v>
      </c>
      <c r="L116" s="10" t="s">
        <v>224</v>
      </c>
      <c r="M116" s="10" t="s">
        <v>225</v>
      </c>
      <c r="N116" s="15" t="str">
        <f t="shared" ref="N116:N147" si="14">IF(OR(G116&lt;0,J116&lt;&gt;"mm",K116="",L116=""),"REVISAR","OK")</f>
        <v>OK</v>
      </c>
    </row>
    <row r="117" spans="1:14">
      <c r="A117" s="10" t="s">
        <v>180</v>
      </c>
      <c r="B117" s="10" t="s">
        <v>189</v>
      </c>
      <c r="C117" s="10">
        <v>2030</v>
      </c>
      <c r="D117" s="10">
        <v>2</v>
      </c>
      <c r="E117" s="10" t="s">
        <v>141</v>
      </c>
      <c r="F117" s="18">
        <f>INDEX('Hoja 2 - Histórico'!$P$8:$P$19,MATCH(D117,'Hoja 2 - Histórico'!$N$8:$N$19,0))</f>
        <v>75.066666666666677</v>
      </c>
      <c r="G117" s="12">
        <v>74.3</v>
      </c>
      <c r="H117" s="18">
        <f t="shared" si="12"/>
        <v>-0.76666666666667993</v>
      </c>
      <c r="I117" s="17">
        <f t="shared" si="13"/>
        <v>-1.0213143872113853E-2</v>
      </c>
      <c r="J117" s="10" t="s">
        <v>56</v>
      </c>
      <c r="K117" s="10" t="s">
        <v>223</v>
      </c>
      <c r="L117" s="10" t="s">
        <v>224</v>
      </c>
      <c r="M117" s="10" t="s">
        <v>225</v>
      </c>
      <c r="N117" s="15" t="str">
        <f t="shared" si="14"/>
        <v>OK</v>
      </c>
    </row>
    <row r="118" spans="1:14">
      <c r="A118" s="10" t="s">
        <v>180</v>
      </c>
      <c r="B118" s="10" t="s">
        <v>189</v>
      </c>
      <c r="C118" s="10">
        <v>2030</v>
      </c>
      <c r="D118" s="10">
        <v>3</v>
      </c>
      <c r="E118" s="10" t="s">
        <v>148</v>
      </c>
      <c r="F118" s="18">
        <f>INDEX('Hoja 2 - Histórico'!$P$8:$P$19,MATCH(D118,'Hoja 2 - Histórico'!$N$8:$N$19,0))</f>
        <v>110.1</v>
      </c>
      <c r="G118" s="12">
        <v>109</v>
      </c>
      <c r="H118" s="18">
        <f t="shared" si="12"/>
        <v>-1.0999999999999943</v>
      </c>
      <c r="I118" s="17">
        <f t="shared" si="13"/>
        <v>-9.9909173478655248E-3</v>
      </c>
      <c r="J118" s="10" t="s">
        <v>56</v>
      </c>
      <c r="K118" s="10" t="s">
        <v>223</v>
      </c>
      <c r="L118" s="10" t="s">
        <v>224</v>
      </c>
      <c r="M118" s="10" t="s">
        <v>225</v>
      </c>
      <c r="N118" s="15" t="str">
        <f t="shared" si="14"/>
        <v>OK</v>
      </c>
    </row>
    <row r="119" spans="1:14">
      <c r="A119" s="10" t="s">
        <v>180</v>
      </c>
      <c r="B119" s="10" t="s">
        <v>189</v>
      </c>
      <c r="C119" s="10">
        <v>2030</v>
      </c>
      <c r="D119" s="10">
        <v>4</v>
      </c>
      <c r="E119" s="10" t="s">
        <v>149</v>
      </c>
      <c r="F119" s="18">
        <f>INDEX('Hoja 2 - Histórico'!$P$8:$P$19,MATCH(D119,'Hoja 2 - Histórico'!$N$8:$N$19,0))</f>
        <v>154.96999999999991</v>
      </c>
      <c r="G119" s="12">
        <v>153.4</v>
      </c>
      <c r="H119" s="18">
        <f t="shared" si="12"/>
        <v>-1.5699999999999079</v>
      </c>
      <c r="I119" s="17">
        <f t="shared" si="13"/>
        <v>-1.0130993095437238E-2</v>
      </c>
      <c r="J119" s="10" t="s">
        <v>56</v>
      </c>
      <c r="K119" s="10" t="s">
        <v>223</v>
      </c>
      <c r="L119" s="10" t="s">
        <v>224</v>
      </c>
      <c r="M119" s="10" t="s">
        <v>225</v>
      </c>
      <c r="N119" s="15" t="str">
        <f t="shared" si="14"/>
        <v>OK</v>
      </c>
    </row>
    <row r="120" spans="1:14">
      <c r="A120" s="10" t="s">
        <v>180</v>
      </c>
      <c r="B120" s="10" t="s">
        <v>189</v>
      </c>
      <c r="C120" s="10">
        <v>2030</v>
      </c>
      <c r="D120" s="10">
        <v>5</v>
      </c>
      <c r="E120" s="10" t="s">
        <v>151</v>
      </c>
      <c r="F120" s="18">
        <f>INDEX('Hoja 2 - Histórico'!$P$8:$P$19,MATCH(D120,'Hoja 2 - Histórico'!$N$8:$N$19,0))</f>
        <v>139.87333333333333</v>
      </c>
      <c r="G120" s="12">
        <v>138.5</v>
      </c>
      <c r="H120" s="18">
        <f t="shared" si="12"/>
        <v>-1.3733333333333348</v>
      </c>
      <c r="I120" s="17">
        <f t="shared" si="13"/>
        <v>-9.8184071302607236E-3</v>
      </c>
      <c r="J120" s="10" t="s">
        <v>56</v>
      </c>
      <c r="K120" s="10" t="s">
        <v>223</v>
      </c>
      <c r="L120" s="10" t="s">
        <v>224</v>
      </c>
      <c r="M120" s="10" t="s">
        <v>225</v>
      </c>
      <c r="N120" s="15" t="str">
        <f t="shared" si="14"/>
        <v>OK</v>
      </c>
    </row>
    <row r="121" spans="1:14">
      <c r="A121" s="10" t="s">
        <v>180</v>
      </c>
      <c r="B121" s="10" t="s">
        <v>189</v>
      </c>
      <c r="C121" s="10">
        <v>2030</v>
      </c>
      <c r="D121" s="10">
        <v>6</v>
      </c>
      <c r="E121" s="10" t="s">
        <v>152</v>
      </c>
      <c r="F121" s="18">
        <f>INDEX('Hoja 2 - Histórico'!$P$8:$P$19,MATCH(D121,'Hoja 2 - Histórico'!$N$8:$N$19,0))</f>
        <v>84.956666666666663</v>
      </c>
      <c r="G121" s="12">
        <v>84.1</v>
      </c>
      <c r="H121" s="18">
        <f t="shared" si="12"/>
        <v>-0.85666666666666913</v>
      </c>
      <c r="I121" s="17">
        <f t="shared" si="13"/>
        <v>-1.0083572017106789E-2</v>
      </c>
      <c r="J121" s="10" t="s">
        <v>56</v>
      </c>
      <c r="K121" s="10" t="s">
        <v>223</v>
      </c>
      <c r="L121" s="10" t="s">
        <v>224</v>
      </c>
      <c r="M121" s="10" t="s">
        <v>225</v>
      </c>
      <c r="N121" s="15" t="str">
        <f t="shared" si="14"/>
        <v>OK</v>
      </c>
    </row>
    <row r="122" spans="1:14">
      <c r="A122" s="10" t="s">
        <v>180</v>
      </c>
      <c r="B122" s="10" t="s">
        <v>189</v>
      </c>
      <c r="C122" s="10">
        <v>2030</v>
      </c>
      <c r="D122" s="10">
        <v>7</v>
      </c>
      <c r="E122" s="10" t="s">
        <v>153</v>
      </c>
      <c r="F122" s="18">
        <f>INDEX('Hoja 2 - Histórico'!$P$8:$P$19,MATCH(D122,'Hoja 2 - Histórico'!$N$8:$N$19,0))</f>
        <v>70.029999999999987</v>
      </c>
      <c r="G122" s="12">
        <v>69.3</v>
      </c>
      <c r="H122" s="18">
        <f t="shared" si="12"/>
        <v>-0.72999999999998977</v>
      </c>
      <c r="I122" s="17">
        <f t="shared" si="13"/>
        <v>-1.0424103955447522E-2</v>
      </c>
      <c r="J122" s="10" t="s">
        <v>56</v>
      </c>
      <c r="K122" s="10" t="s">
        <v>223</v>
      </c>
      <c r="L122" s="10" t="s">
        <v>224</v>
      </c>
      <c r="M122" s="10" t="s">
        <v>225</v>
      </c>
      <c r="N122" s="15" t="str">
        <f t="shared" si="14"/>
        <v>OK</v>
      </c>
    </row>
    <row r="123" spans="1:14">
      <c r="A123" s="10" t="s">
        <v>180</v>
      </c>
      <c r="B123" s="10" t="s">
        <v>189</v>
      </c>
      <c r="C123" s="10">
        <v>2030</v>
      </c>
      <c r="D123" s="10">
        <v>8</v>
      </c>
      <c r="E123" s="10" t="s">
        <v>154</v>
      </c>
      <c r="F123" s="18">
        <f>INDEX('Hoja 2 - Histórico'!$P$8:$P$19,MATCH(D123,'Hoja 2 - Histórico'!$N$8:$N$19,0))</f>
        <v>75.036666666666662</v>
      </c>
      <c r="G123" s="12">
        <v>74.3</v>
      </c>
      <c r="H123" s="18">
        <f t="shared" si="12"/>
        <v>-0.73666666666666458</v>
      </c>
      <c r="I123" s="17">
        <f t="shared" si="13"/>
        <v>-9.8174225933987565E-3</v>
      </c>
      <c r="J123" s="10" t="s">
        <v>56</v>
      </c>
      <c r="K123" s="10" t="s">
        <v>223</v>
      </c>
      <c r="L123" s="10" t="s">
        <v>224</v>
      </c>
      <c r="M123" s="10" t="s">
        <v>225</v>
      </c>
      <c r="N123" s="15" t="str">
        <f t="shared" si="14"/>
        <v>OK</v>
      </c>
    </row>
    <row r="124" spans="1:14">
      <c r="A124" s="10" t="s">
        <v>180</v>
      </c>
      <c r="B124" s="10" t="s">
        <v>189</v>
      </c>
      <c r="C124" s="10">
        <v>2030</v>
      </c>
      <c r="D124" s="10">
        <v>9</v>
      </c>
      <c r="E124" s="10" t="s">
        <v>155</v>
      </c>
      <c r="F124" s="18">
        <f>INDEX('Hoja 2 - Histórico'!$P$8:$P$19,MATCH(D124,'Hoja 2 - Histórico'!$N$8:$N$19,0))</f>
        <v>119.9666666666667</v>
      </c>
      <c r="G124" s="12">
        <v>118.8</v>
      </c>
      <c r="H124" s="18">
        <f t="shared" si="12"/>
        <v>-1.1666666666666998</v>
      </c>
      <c r="I124" s="17">
        <f t="shared" si="13"/>
        <v>-9.7249235898863532E-3</v>
      </c>
      <c r="J124" s="10" t="s">
        <v>56</v>
      </c>
      <c r="K124" s="10" t="s">
        <v>223</v>
      </c>
      <c r="L124" s="10" t="s">
        <v>224</v>
      </c>
      <c r="M124" s="10" t="s">
        <v>225</v>
      </c>
      <c r="N124" s="15" t="str">
        <f t="shared" si="14"/>
        <v>OK</v>
      </c>
    </row>
    <row r="125" spans="1:14">
      <c r="A125" s="10" t="s">
        <v>180</v>
      </c>
      <c r="B125" s="10" t="s">
        <v>189</v>
      </c>
      <c r="C125" s="10">
        <v>2030</v>
      </c>
      <c r="D125" s="10">
        <v>10</v>
      </c>
      <c r="E125" s="10" t="s">
        <v>157</v>
      </c>
      <c r="F125" s="18">
        <f>INDEX('Hoja 2 - Histórico'!$P$8:$P$19,MATCH(D125,'Hoja 2 - Histórico'!$N$8:$N$19,0))</f>
        <v>159.85333333333332</v>
      </c>
      <c r="G125" s="12">
        <v>158.30000000000001</v>
      </c>
      <c r="H125" s="18">
        <f t="shared" si="12"/>
        <v>-1.5533333333333132</v>
      </c>
      <c r="I125" s="17">
        <f t="shared" si="13"/>
        <v>-9.7172408040702724E-3</v>
      </c>
      <c r="J125" s="10" t="s">
        <v>56</v>
      </c>
      <c r="K125" s="10" t="s">
        <v>223</v>
      </c>
      <c r="L125" s="10" t="s">
        <v>224</v>
      </c>
      <c r="M125" s="10" t="s">
        <v>225</v>
      </c>
      <c r="N125" s="15" t="str">
        <f t="shared" si="14"/>
        <v>OK</v>
      </c>
    </row>
    <row r="126" spans="1:14">
      <c r="A126" s="10" t="s">
        <v>180</v>
      </c>
      <c r="B126" s="10" t="s">
        <v>189</v>
      </c>
      <c r="C126" s="10">
        <v>2030</v>
      </c>
      <c r="D126" s="10">
        <v>11</v>
      </c>
      <c r="E126" s="10" t="s">
        <v>158</v>
      </c>
      <c r="F126" s="18">
        <f>INDEX('Hoja 2 - Histórico'!$P$8:$P$19,MATCH(D126,'Hoja 2 - Histórico'!$N$8:$N$19,0))</f>
        <v>134.94666666666666</v>
      </c>
      <c r="G126" s="12">
        <v>133.6</v>
      </c>
      <c r="H126" s="18">
        <f t="shared" si="12"/>
        <v>-1.346666666666664</v>
      </c>
      <c r="I126" s="17">
        <f t="shared" si="13"/>
        <v>-9.9792510621479896E-3</v>
      </c>
      <c r="J126" s="10" t="s">
        <v>56</v>
      </c>
      <c r="K126" s="10" t="s">
        <v>223</v>
      </c>
      <c r="L126" s="10" t="s">
        <v>224</v>
      </c>
      <c r="M126" s="10" t="s">
        <v>225</v>
      </c>
      <c r="N126" s="15" t="str">
        <f t="shared" si="14"/>
        <v>OK</v>
      </c>
    </row>
    <row r="127" spans="1:14">
      <c r="A127" s="10" t="s">
        <v>180</v>
      </c>
      <c r="B127" s="10" t="s">
        <v>189</v>
      </c>
      <c r="C127" s="10">
        <v>2030</v>
      </c>
      <c r="D127" s="10">
        <v>12</v>
      </c>
      <c r="E127" s="10" t="s">
        <v>164</v>
      </c>
      <c r="F127" s="18">
        <f>INDEX('Hoja 2 - Histórico'!$P$8:$P$19,MATCH(D127,'Hoja 2 - Histórico'!$N$8:$N$19,0))</f>
        <v>80.049999999999983</v>
      </c>
      <c r="G127" s="12">
        <v>79.2</v>
      </c>
      <c r="H127" s="18">
        <f t="shared" si="12"/>
        <v>-0.8499999999999801</v>
      </c>
      <c r="I127" s="17">
        <f t="shared" si="13"/>
        <v>-1.0618363522798005E-2</v>
      </c>
      <c r="J127" s="10" t="s">
        <v>56</v>
      </c>
      <c r="K127" s="10" t="s">
        <v>223</v>
      </c>
      <c r="L127" s="10" t="s">
        <v>224</v>
      </c>
      <c r="M127" s="10" t="s">
        <v>225</v>
      </c>
      <c r="N127" s="15" t="str">
        <f t="shared" si="14"/>
        <v>OK</v>
      </c>
    </row>
    <row r="128" spans="1:14">
      <c r="A128" s="10" t="s">
        <v>180</v>
      </c>
      <c r="B128" s="10" t="s">
        <v>199</v>
      </c>
      <c r="C128" s="10">
        <v>2050</v>
      </c>
      <c r="D128" s="10">
        <v>1</v>
      </c>
      <c r="E128" s="10" t="s">
        <v>134</v>
      </c>
      <c r="F128" s="18">
        <f>INDEX('Hoja 2 - Histórico'!$P$8:$P$19,MATCH(D128,'Hoja 2 - Histórico'!$N$8:$N$19,0))</f>
        <v>64.923333333333346</v>
      </c>
      <c r="G128" s="12">
        <v>62.3</v>
      </c>
      <c r="H128" s="18">
        <f t="shared" si="12"/>
        <v>-2.6233333333333491</v>
      </c>
      <c r="I128" s="17">
        <f t="shared" si="13"/>
        <v>-4.0406633465112932E-2</v>
      </c>
      <c r="J128" s="10" t="s">
        <v>56</v>
      </c>
      <c r="K128" s="10" t="s">
        <v>223</v>
      </c>
      <c r="L128" s="10" t="s">
        <v>224</v>
      </c>
      <c r="M128" s="10" t="s">
        <v>225</v>
      </c>
      <c r="N128" s="15" t="str">
        <f t="shared" si="14"/>
        <v>OK</v>
      </c>
    </row>
    <row r="129" spans="1:14">
      <c r="A129" s="10" t="s">
        <v>180</v>
      </c>
      <c r="B129" s="10" t="s">
        <v>199</v>
      </c>
      <c r="C129" s="10">
        <v>2050</v>
      </c>
      <c r="D129" s="10">
        <v>2</v>
      </c>
      <c r="E129" s="10" t="s">
        <v>141</v>
      </c>
      <c r="F129" s="18">
        <f>INDEX('Hoja 2 - Histórico'!$P$8:$P$19,MATCH(D129,'Hoja 2 - Histórico'!$N$8:$N$19,0))</f>
        <v>75.066666666666677</v>
      </c>
      <c r="G129" s="12">
        <v>72.099999999999994</v>
      </c>
      <c r="H129" s="18">
        <f t="shared" si="12"/>
        <v>-2.9666666666666828</v>
      </c>
      <c r="I129" s="17">
        <f t="shared" si="13"/>
        <v>-3.9520426287744437E-2</v>
      </c>
      <c r="J129" s="10" t="s">
        <v>56</v>
      </c>
      <c r="K129" s="10" t="s">
        <v>223</v>
      </c>
      <c r="L129" s="10" t="s">
        <v>224</v>
      </c>
      <c r="M129" s="10" t="s">
        <v>225</v>
      </c>
      <c r="N129" s="15" t="str">
        <f t="shared" si="14"/>
        <v>OK</v>
      </c>
    </row>
    <row r="130" spans="1:14">
      <c r="A130" s="10" t="s">
        <v>180</v>
      </c>
      <c r="B130" s="10" t="s">
        <v>199</v>
      </c>
      <c r="C130" s="10">
        <v>2050</v>
      </c>
      <c r="D130" s="10">
        <v>3</v>
      </c>
      <c r="E130" s="10" t="s">
        <v>148</v>
      </c>
      <c r="F130" s="18">
        <f>INDEX('Hoja 2 - Histórico'!$P$8:$P$19,MATCH(D130,'Hoja 2 - Histórico'!$N$8:$N$19,0))</f>
        <v>110.1</v>
      </c>
      <c r="G130" s="12">
        <v>105.7</v>
      </c>
      <c r="H130" s="18">
        <f t="shared" si="12"/>
        <v>-4.3999999999999915</v>
      </c>
      <c r="I130" s="17">
        <f t="shared" si="13"/>
        <v>-3.9963669391462231E-2</v>
      </c>
      <c r="J130" s="10" t="s">
        <v>56</v>
      </c>
      <c r="K130" s="10" t="s">
        <v>223</v>
      </c>
      <c r="L130" s="10" t="s">
        <v>224</v>
      </c>
      <c r="M130" s="10" t="s">
        <v>225</v>
      </c>
      <c r="N130" s="15" t="str">
        <f t="shared" si="14"/>
        <v>OK</v>
      </c>
    </row>
    <row r="131" spans="1:14">
      <c r="A131" s="10" t="s">
        <v>180</v>
      </c>
      <c r="B131" s="10" t="s">
        <v>199</v>
      </c>
      <c r="C131" s="10">
        <v>2050</v>
      </c>
      <c r="D131" s="10">
        <v>4</v>
      </c>
      <c r="E131" s="10" t="s">
        <v>149</v>
      </c>
      <c r="F131" s="18">
        <f>INDEX('Hoja 2 - Histórico'!$P$8:$P$19,MATCH(D131,'Hoja 2 - Histórico'!$N$8:$N$19,0))</f>
        <v>154.96999999999991</v>
      </c>
      <c r="G131" s="12">
        <v>148.80000000000001</v>
      </c>
      <c r="H131" s="18">
        <f t="shared" si="12"/>
        <v>-6.1699999999999022</v>
      </c>
      <c r="I131" s="17">
        <f t="shared" si="13"/>
        <v>-3.981415757888563E-2</v>
      </c>
      <c r="J131" s="10" t="s">
        <v>56</v>
      </c>
      <c r="K131" s="10" t="s">
        <v>223</v>
      </c>
      <c r="L131" s="10" t="s">
        <v>224</v>
      </c>
      <c r="M131" s="10" t="s">
        <v>225</v>
      </c>
      <c r="N131" s="15" t="str">
        <f t="shared" si="14"/>
        <v>OK</v>
      </c>
    </row>
    <row r="132" spans="1:14">
      <c r="A132" s="10" t="s">
        <v>180</v>
      </c>
      <c r="B132" s="10" t="s">
        <v>199</v>
      </c>
      <c r="C132" s="10">
        <v>2050</v>
      </c>
      <c r="D132" s="10">
        <v>5</v>
      </c>
      <c r="E132" s="10" t="s">
        <v>151</v>
      </c>
      <c r="F132" s="18">
        <f>INDEX('Hoja 2 - Histórico'!$P$8:$P$19,MATCH(D132,'Hoja 2 - Histórico'!$N$8:$N$19,0))</f>
        <v>139.87333333333333</v>
      </c>
      <c r="G132" s="12">
        <v>134.30000000000001</v>
      </c>
      <c r="H132" s="18">
        <f t="shared" si="12"/>
        <v>-5.5733333333333235</v>
      </c>
      <c r="I132" s="17">
        <f t="shared" si="13"/>
        <v>-3.9845574567465729E-2</v>
      </c>
      <c r="J132" s="10" t="s">
        <v>56</v>
      </c>
      <c r="K132" s="10" t="s">
        <v>223</v>
      </c>
      <c r="L132" s="10" t="s">
        <v>224</v>
      </c>
      <c r="M132" s="10" t="s">
        <v>225</v>
      </c>
      <c r="N132" s="15" t="str">
        <f t="shared" si="14"/>
        <v>OK</v>
      </c>
    </row>
    <row r="133" spans="1:14">
      <c r="A133" s="10" t="s">
        <v>180</v>
      </c>
      <c r="B133" s="10" t="s">
        <v>199</v>
      </c>
      <c r="C133" s="10">
        <v>2050</v>
      </c>
      <c r="D133" s="10">
        <v>6</v>
      </c>
      <c r="E133" s="10" t="s">
        <v>152</v>
      </c>
      <c r="F133" s="18">
        <f>INDEX('Hoja 2 - Histórico'!$P$8:$P$19,MATCH(D133,'Hoja 2 - Histórico'!$N$8:$N$19,0))</f>
        <v>84.956666666666663</v>
      </c>
      <c r="G133" s="12">
        <v>81.599999999999994</v>
      </c>
      <c r="H133" s="18">
        <f t="shared" si="12"/>
        <v>-3.3566666666666691</v>
      </c>
      <c r="I133" s="17">
        <f t="shared" si="13"/>
        <v>-3.9510338603994222E-2</v>
      </c>
      <c r="J133" s="10" t="s">
        <v>56</v>
      </c>
      <c r="K133" s="10" t="s">
        <v>223</v>
      </c>
      <c r="L133" s="10" t="s">
        <v>224</v>
      </c>
      <c r="M133" s="10" t="s">
        <v>225</v>
      </c>
      <c r="N133" s="15" t="str">
        <f t="shared" si="14"/>
        <v>OK</v>
      </c>
    </row>
    <row r="134" spans="1:14">
      <c r="A134" s="10" t="s">
        <v>180</v>
      </c>
      <c r="B134" s="10" t="s">
        <v>199</v>
      </c>
      <c r="C134" s="10">
        <v>2050</v>
      </c>
      <c r="D134" s="10">
        <v>7</v>
      </c>
      <c r="E134" s="10" t="s">
        <v>153</v>
      </c>
      <c r="F134" s="18">
        <f>INDEX('Hoja 2 - Histórico'!$P$8:$P$19,MATCH(D134,'Hoja 2 - Histórico'!$N$8:$N$19,0))</f>
        <v>70.029999999999987</v>
      </c>
      <c r="G134" s="12">
        <v>67.2</v>
      </c>
      <c r="H134" s="18">
        <f t="shared" si="12"/>
        <v>-2.8299999999999841</v>
      </c>
      <c r="I134" s="17">
        <f t="shared" si="13"/>
        <v>-4.0411252320433882E-2</v>
      </c>
      <c r="J134" s="10" t="s">
        <v>56</v>
      </c>
      <c r="K134" s="10" t="s">
        <v>223</v>
      </c>
      <c r="L134" s="10" t="s">
        <v>224</v>
      </c>
      <c r="M134" s="10" t="s">
        <v>225</v>
      </c>
      <c r="N134" s="15" t="str">
        <f t="shared" si="14"/>
        <v>OK</v>
      </c>
    </row>
    <row r="135" spans="1:14">
      <c r="A135" s="10" t="s">
        <v>180</v>
      </c>
      <c r="B135" s="10" t="s">
        <v>199</v>
      </c>
      <c r="C135" s="10">
        <v>2050</v>
      </c>
      <c r="D135" s="10">
        <v>8</v>
      </c>
      <c r="E135" s="10" t="s">
        <v>154</v>
      </c>
      <c r="F135" s="18">
        <f>INDEX('Hoja 2 - Histórico'!$P$8:$P$19,MATCH(D135,'Hoja 2 - Histórico'!$N$8:$N$19,0))</f>
        <v>75.036666666666662</v>
      </c>
      <c r="G135" s="12">
        <v>72</v>
      </c>
      <c r="H135" s="18">
        <f t="shared" si="12"/>
        <v>-3.0366666666666617</v>
      </c>
      <c r="I135" s="17">
        <f t="shared" si="13"/>
        <v>-4.0469103993603067E-2</v>
      </c>
      <c r="J135" s="10" t="s">
        <v>56</v>
      </c>
      <c r="K135" s="10" t="s">
        <v>223</v>
      </c>
      <c r="L135" s="10" t="s">
        <v>224</v>
      </c>
      <c r="M135" s="10" t="s">
        <v>225</v>
      </c>
      <c r="N135" s="15" t="str">
        <f t="shared" si="14"/>
        <v>OK</v>
      </c>
    </row>
    <row r="136" spans="1:14">
      <c r="A136" s="10" t="s">
        <v>180</v>
      </c>
      <c r="B136" s="10" t="s">
        <v>199</v>
      </c>
      <c r="C136" s="10">
        <v>2050</v>
      </c>
      <c r="D136" s="10">
        <v>9</v>
      </c>
      <c r="E136" s="10" t="s">
        <v>155</v>
      </c>
      <c r="F136" s="18">
        <f>INDEX('Hoja 2 - Histórico'!$P$8:$P$19,MATCH(D136,'Hoja 2 - Histórico'!$N$8:$N$19,0))</f>
        <v>119.9666666666667</v>
      </c>
      <c r="G136" s="12">
        <v>115.2</v>
      </c>
      <c r="H136" s="18">
        <f t="shared" si="12"/>
        <v>-4.7666666666666941</v>
      </c>
      <c r="I136" s="17">
        <f t="shared" si="13"/>
        <v>-3.9733259238677626E-2</v>
      </c>
      <c r="J136" s="10" t="s">
        <v>56</v>
      </c>
      <c r="K136" s="10" t="s">
        <v>223</v>
      </c>
      <c r="L136" s="10" t="s">
        <v>224</v>
      </c>
      <c r="M136" s="10" t="s">
        <v>225</v>
      </c>
      <c r="N136" s="15" t="str">
        <f t="shared" si="14"/>
        <v>OK</v>
      </c>
    </row>
    <row r="137" spans="1:14">
      <c r="A137" s="10" t="s">
        <v>180</v>
      </c>
      <c r="B137" s="10" t="s">
        <v>199</v>
      </c>
      <c r="C137" s="10">
        <v>2050</v>
      </c>
      <c r="D137" s="10">
        <v>10</v>
      </c>
      <c r="E137" s="10" t="s">
        <v>157</v>
      </c>
      <c r="F137" s="18">
        <f>INDEX('Hoja 2 - Histórico'!$P$8:$P$19,MATCH(D137,'Hoja 2 - Histórico'!$N$8:$N$19,0))</f>
        <v>159.85333333333332</v>
      </c>
      <c r="G137" s="12">
        <v>153.5</v>
      </c>
      <c r="H137" s="18">
        <f t="shared" si="12"/>
        <v>-6.3533333333333246</v>
      </c>
      <c r="I137" s="17">
        <f t="shared" si="13"/>
        <v>-3.9744766035532522E-2</v>
      </c>
      <c r="J137" s="10" t="s">
        <v>56</v>
      </c>
      <c r="K137" s="10" t="s">
        <v>223</v>
      </c>
      <c r="L137" s="10" t="s">
        <v>224</v>
      </c>
      <c r="M137" s="10" t="s">
        <v>225</v>
      </c>
      <c r="N137" s="15" t="str">
        <f t="shared" si="14"/>
        <v>OK</v>
      </c>
    </row>
    <row r="138" spans="1:14">
      <c r="A138" s="10" t="s">
        <v>180</v>
      </c>
      <c r="B138" s="10" t="s">
        <v>199</v>
      </c>
      <c r="C138" s="10">
        <v>2050</v>
      </c>
      <c r="D138" s="10">
        <v>11</v>
      </c>
      <c r="E138" s="10" t="s">
        <v>158</v>
      </c>
      <c r="F138" s="18">
        <f>INDEX('Hoja 2 - Histórico'!$P$8:$P$19,MATCH(D138,'Hoja 2 - Histórico'!$N$8:$N$19,0))</f>
        <v>134.94666666666666</v>
      </c>
      <c r="G138" s="12">
        <v>129.5</v>
      </c>
      <c r="H138" s="18">
        <f t="shared" si="12"/>
        <v>-5.4466666666666583</v>
      </c>
      <c r="I138" s="17">
        <f t="shared" si="13"/>
        <v>-4.0361624345420351E-2</v>
      </c>
      <c r="J138" s="10" t="s">
        <v>56</v>
      </c>
      <c r="K138" s="10" t="s">
        <v>223</v>
      </c>
      <c r="L138" s="10" t="s">
        <v>224</v>
      </c>
      <c r="M138" s="10" t="s">
        <v>225</v>
      </c>
      <c r="N138" s="15" t="str">
        <f t="shared" si="14"/>
        <v>OK</v>
      </c>
    </row>
    <row r="139" spans="1:14">
      <c r="A139" s="10" t="s">
        <v>180</v>
      </c>
      <c r="B139" s="10" t="s">
        <v>199</v>
      </c>
      <c r="C139" s="10">
        <v>2050</v>
      </c>
      <c r="D139" s="10">
        <v>12</v>
      </c>
      <c r="E139" s="10" t="s">
        <v>164</v>
      </c>
      <c r="F139" s="18">
        <f>INDEX('Hoja 2 - Histórico'!$P$8:$P$19,MATCH(D139,'Hoja 2 - Histórico'!$N$8:$N$19,0))</f>
        <v>80.049999999999983</v>
      </c>
      <c r="G139" s="12">
        <v>76.8</v>
      </c>
      <c r="H139" s="18">
        <f t="shared" si="12"/>
        <v>-3.2499999999999858</v>
      </c>
      <c r="I139" s="17">
        <f t="shared" si="13"/>
        <v>-4.0599625234228436E-2</v>
      </c>
      <c r="J139" s="10" t="s">
        <v>56</v>
      </c>
      <c r="K139" s="10" t="s">
        <v>223</v>
      </c>
      <c r="L139" s="10" t="s">
        <v>224</v>
      </c>
      <c r="M139" s="10" t="s">
        <v>225</v>
      </c>
      <c r="N139" s="15" t="str">
        <f t="shared" si="14"/>
        <v>OK</v>
      </c>
    </row>
    <row r="140" spans="1:14">
      <c r="A140" s="10" t="s">
        <v>180</v>
      </c>
      <c r="B140" s="10" t="s">
        <v>212</v>
      </c>
      <c r="C140" s="10">
        <v>2070</v>
      </c>
      <c r="D140" s="10">
        <v>1</v>
      </c>
      <c r="E140" s="10" t="s">
        <v>134</v>
      </c>
      <c r="F140" s="18">
        <f>INDEX('Hoja 2 - Histórico'!$P$8:$P$19,MATCH(D140,'Hoja 2 - Histórico'!$N$8:$N$19,0))</f>
        <v>64.923333333333346</v>
      </c>
      <c r="G140" s="12">
        <v>59.7</v>
      </c>
      <c r="H140" s="18">
        <f t="shared" si="12"/>
        <v>-5.2233333333333434</v>
      </c>
      <c r="I140" s="17">
        <f t="shared" si="13"/>
        <v>-8.0453868665605721E-2</v>
      </c>
      <c r="J140" s="10" t="s">
        <v>56</v>
      </c>
      <c r="K140" s="10" t="s">
        <v>223</v>
      </c>
      <c r="L140" s="10" t="s">
        <v>224</v>
      </c>
      <c r="M140" s="10" t="s">
        <v>225</v>
      </c>
      <c r="N140" s="15" t="str">
        <f t="shared" si="14"/>
        <v>OK</v>
      </c>
    </row>
    <row r="141" spans="1:14">
      <c r="A141" s="10" t="s">
        <v>180</v>
      </c>
      <c r="B141" s="10" t="s">
        <v>212</v>
      </c>
      <c r="C141" s="10">
        <v>2070</v>
      </c>
      <c r="D141" s="10">
        <v>2</v>
      </c>
      <c r="E141" s="10" t="s">
        <v>141</v>
      </c>
      <c r="F141" s="18">
        <f>INDEX('Hoja 2 - Histórico'!$P$8:$P$19,MATCH(D141,'Hoja 2 - Histórico'!$N$8:$N$19,0))</f>
        <v>75.066666666666677</v>
      </c>
      <c r="G141" s="12">
        <v>69.099999999999994</v>
      </c>
      <c r="H141" s="18">
        <f t="shared" si="12"/>
        <v>-5.9666666666666828</v>
      </c>
      <c r="I141" s="17">
        <f t="shared" si="13"/>
        <v>-7.9484902309058816E-2</v>
      </c>
      <c r="J141" s="10" t="s">
        <v>56</v>
      </c>
      <c r="K141" s="10" t="s">
        <v>223</v>
      </c>
      <c r="L141" s="10" t="s">
        <v>224</v>
      </c>
      <c r="M141" s="10" t="s">
        <v>225</v>
      </c>
      <c r="N141" s="15" t="str">
        <f t="shared" si="14"/>
        <v>OK</v>
      </c>
    </row>
    <row r="142" spans="1:14">
      <c r="A142" s="10" t="s">
        <v>180</v>
      </c>
      <c r="B142" s="10" t="s">
        <v>212</v>
      </c>
      <c r="C142" s="10">
        <v>2070</v>
      </c>
      <c r="D142" s="10">
        <v>3</v>
      </c>
      <c r="E142" s="10" t="s">
        <v>148</v>
      </c>
      <c r="F142" s="18">
        <f>INDEX('Hoja 2 - Histórico'!$P$8:$P$19,MATCH(D142,'Hoja 2 - Histórico'!$N$8:$N$19,0))</f>
        <v>110.1</v>
      </c>
      <c r="G142" s="12">
        <v>101.3</v>
      </c>
      <c r="H142" s="18">
        <f t="shared" si="12"/>
        <v>-8.7999999999999972</v>
      </c>
      <c r="I142" s="17">
        <f t="shared" si="13"/>
        <v>-7.9927338782924587E-2</v>
      </c>
      <c r="J142" s="10" t="s">
        <v>56</v>
      </c>
      <c r="K142" s="10" t="s">
        <v>223</v>
      </c>
      <c r="L142" s="10" t="s">
        <v>224</v>
      </c>
      <c r="M142" s="10" t="s">
        <v>225</v>
      </c>
      <c r="N142" s="15" t="str">
        <f t="shared" si="14"/>
        <v>OK</v>
      </c>
    </row>
    <row r="143" spans="1:14">
      <c r="A143" s="10" t="s">
        <v>180</v>
      </c>
      <c r="B143" s="10" t="s">
        <v>212</v>
      </c>
      <c r="C143" s="10">
        <v>2070</v>
      </c>
      <c r="D143" s="10">
        <v>4</v>
      </c>
      <c r="E143" s="10" t="s">
        <v>149</v>
      </c>
      <c r="F143" s="18">
        <f>INDEX('Hoja 2 - Histórico'!$P$8:$P$19,MATCH(D143,'Hoja 2 - Histórico'!$N$8:$N$19,0))</f>
        <v>154.96999999999991</v>
      </c>
      <c r="G143" s="12">
        <v>142.6</v>
      </c>
      <c r="H143" s="18">
        <f t="shared" si="12"/>
        <v>-12.369999999999919</v>
      </c>
      <c r="I143" s="17">
        <f t="shared" si="13"/>
        <v>-7.9821901013098828E-2</v>
      </c>
      <c r="J143" s="10" t="s">
        <v>56</v>
      </c>
      <c r="K143" s="10" t="s">
        <v>223</v>
      </c>
      <c r="L143" s="10" t="s">
        <v>224</v>
      </c>
      <c r="M143" s="10" t="s">
        <v>225</v>
      </c>
      <c r="N143" s="15" t="str">
        <f t="shared" si="14"/>
        <v>OK</v>
      </c>
    </row>
    <row r="144" spans="1:14">
      <c r="A144" s="10" t="s">
        <v>180</v>
      </c>
      <c r="B144" s="10" t="s">
        <v>212</v>
      </c>
      <c r="C144" s="10">
        <v>2070</v>
      </c>
      <c r="D144" s="10">
        <v>5</v>
      </c>
      <c r="E144" s="10" t="s">
        <v>151</v>
      </c>
      <c r="F144" s="18">
        <f>INDEX('Hoja 2 - Histórico'!$P$8:$P$19,MATCH(D144,'Hoja 2 - Histórico'!$N$8:$N$19,0))</f>
        <v>139.87333333333333</v>
      </c>
      <c r="G144" s="12">
        <v>128.69999999999999</v>
      </c>
      <c r="H144" s="18">
        <f t="shared" si="12"/>
        <v>-11.173333333333346</v>
      </c>
      <c r="I144" s="17">
        <f t="shared" si="13"/>
        <v>-7.9881797817072678E-2</v>
      </c>
      <c r="J144" s="10" t="s">
        <v>56</v>
      </c>
      <c r="K144" s="10" t="s">
        <v>223</v>
      </c>
      <c r="L144" s="10" t="s">
        <v>224</v>
      </c>
      <c r="M144" s="10" t="s">
        <v>225</v>
      </c>
      <c r="N144" s="15" t="str">
        <f t="shared" si="14"/>
        <v>OK</v>
      </c>
    </row>
    <row r="145" spans="1:14">
      <c r="A145" s="10" t="s">
        <v>180</v>
      </c>
      <c r="B145" s="10" t="s">
        <v>212</v>
      </c>
      <c r="C145" s="10">
        <v>2070</v>
      </c>
      <c r="D145" s="10">
        <v>6</v>
      </c>
      <c r="E145" s="10" t="s">
        <v>152</v>
      </c>
      <c r="F145" s="18">
        <f>INDEX('Hoja 2 - Histórico'!$P$8:$P$19,MATCH(D145,'Hoja 2 - Histórico'!$N$8:$N$19,0))</f>
        <v>84.956666666666663</v>
      </c>
      <c r="G145" s="12">
        <v>78.2</v>
      </c>
      <c r="H145" s="18">
        <f t="shared" si="12"/>
        <v>-6.7566666666666606</v>
      </c>
      <c r="I145" s="17">
        <f t="shared" si="13"/>
        <v>-7.9530741162161037E-2</v>
      </c>
      <c r="J145" s="10" t="s">
        <v>56</v>
      </c>
      <c r="K145" s="10" t="s">
        <v>223</v>
      </c>
      <c r="L145" s="10" t="s">
        <v>224</v>
      </c>
      <c r="M145" s="10" t="s">
        <v>225</v>
      </c>
      <c r="N145" s="15" t="str">
        <f t="shared" si="14"/>
        <v>OK</v>
      </c>
    </row>
    <row r="146" spans="1:14">
      <c r="A146" s="10" t="s">
        <v>180</v>
      </c>
      <c r="B146" s="10" t="s">
        <v>212</v>
      </c>
      <c r="C146" s="10">
        <v>2070</v>
      </c>
      <c r="D146" s="10">
        <v>7</v>
      </c>
      <c r="E146" s="10" t="s">
        <v>153</v>
      </c>
      <c r="F146" s="18">
        <f>INDEX('Hoja 2 - Histórico'!$P$8:$P$19,MATCH(D146,'Hoja 2 - Histórico'!$N$8:$N$19,0))</f>
        <v>70.029999999999987</v>
      </c>
      <c r="G146" s="12">
        <v>64.400000000000006</v>
      </c>
      <c r="H146" s="18">
        <f t="shared" si="12"/>
        <v>-5.6299999999999812</v>
      </c>
      <c r="I146" s="17">
        <f t="shared" si="13"/>
        <v>-8.039411680708243E-2</v>
      </c>
      <c r="J146" s="10" t="s">
        <v>56</v>
      </c>
      <c r="K146" s="10" t="s">
        <v>223</v>
      </c>
      <c r="L146" s="10" t="s">
        <v>224</v>
      </c>
      <c r="M146" s="10" t="s">
        <v>225</v>
      </c>
      <c r="N146" s="15" t="str">
        <f t="shared" si="14"/>
        <v>OK</v>
      </c>
    </row>
    <row r="147" spans="1:14">
      <c r="A147" s="10" t="s">
        <v>180</v>
      </c>
      <c r="B147" s="10" t="s">
        <v>212</v>
      </c>
      <c r="C147" s="10">
        <v>2070</v>
      </c>
      <c r="D147" s="10">
        <v>8</v>
      </c>
      <c r="E147" s="10" t="s">
        <v>154</v>
      </c>
      <c r="F147" s="18">
        <f>INDEX('Hoja 2 - Histórico'!$P$8:$P$19,MATCH(D147,'Hoja 2 - Histórico'!$N$8:$N$19,0))</f>
        <v>75.036666666666662</v>
      </c>
      <c r="G147" s="12">
        <v>69</v>
      </c>
      <c r="H147" s="18">
        <f t="shared" si="12"/>
        <v>-6.0366666666666617</v>
      </c>
      <c r="I147" s="17">
        <f t="shared" si="13"/>
        <v>-8.0449557993869603E-2</v>
      </c>
      <c r="J147" s="10" t="s">
        <v>56</v>
      </c>
      <c r="K147" s="10" t="s">
        <v>223</v>
      </c>
      <c r="L147" s="10" t="s">
        <v>224</v>
      </c>
      <c r="M147" s="10" t="s">
        <v>225</v>
      </c>
      <c r="N147" s="15" t="str">
        <f t="shared" si="14"/>
        <v>OK</v>
      </c>
    </row>
    <row r="148" spans="1:14">
      <c r="A148" s="10" t="s">
        <v>180</v>
      </c>
      <c r="B148" s="10" t="s">
        <v>212</v>
      </c>
      <c r="C148" s="10">
        <v>2070</v>
      </c>
      <c r="D148" s="10">
        <v>9</v>
      </c>
      <c r="E148" s="10" t="s">
        <v>155</v>
      </c>
      <c r="F148" s="18">
        <f>INDEX('Hoja 2 - Histórico'!$P$8:$P$19,MATCH(D148,'Hoja 2 - Histórico'!$N$8:$N$19,0))</f>
        <v>119.9666666666667</v>
      </c>
      <c r="G148" s="12">
        <v>110.4</v>
      </c>
      <c r="H148" s="18">
        <f t="shared" ref="H148:H179" si="15">G148-F148</f>
        <v>-9.5666666666666913</v>
      </c>
      <c r="I148" s="17">
        <f t="shared" ref="I148:I179" si="16">IF(F148=0,"",(G148-F148)/F148)</f>
        <v>-7.9744373437066043E-2</v>
      </c>
      <c r="J148" s="10" t="s">
        <v>56</v>
      </c>
      <c r="K148" s="10" t="s">
        <v>223</v>
      </c>
      <c r="L148" s="10" t="s">
        <v>224</v>
      </c>
      <c r="M148" s="10" t="s">
        <v>225</v>
      </c>
      <c r="N148" s="15" t="str">
        <f t="shared" ref="N148:N179" si="17">IF(OR(G148&lt;0,J148&lt;&gt;"mm",K148="",L148=""),"REVISAR","OK")</f>
        <v>OK</v>
      </c>
    </row>
    <row r="149" spans="1:14">
      <c r="A149" s="10" t="s">
        <v>180</v>
      </c>
      <c r="B149" s="10" t="s">
        <v>212</v>
      </c>
      <c r="C149" s="10">
        <v>2070</v>
      </c>
      <c r="D149" s="10">
        <v>10</v>
      </c>
      <c r="E149" s="10" t="s">
        <v>157</v>
      </c>
      <c r="F149" s="18">
        <f>INDEX('Hoja 2 - Histórico'!$P$8:$P$19,MATCH(D149,'Hoja 2 - Histórico'!$N$8:$N$19,0))</f>
        <v>159.85333333333332</v>
      </c>
      <c r="G149" s="12">
        <v>147.1</v>
      </c>
      <c r="H149" s="18">
        <f t="shared" si="15"/>
        <v>-12.75333333333333</v>
      </c>
      <c r="I149" s="17">
        <f t="shared" si="16"/>
        <v>-7.9781466344148788E-2</v>
      </c>
      <c r="J149" s="10" t="s">
        <v>56</v>
      </c>
      <c r="K149" s="10" t="s">
        <v>223</v>
      </c>
      <c r="L149" s="10" t="s">
        <v>224</v>
      </c>
      <c r="M149" s="10" t="s">
        <v>225</v>
      </c>
      <c r="N149" s="15" t="str">
        <f t="shared" si="17"/>
        <v>OK</v>
      </c>
    </row>
    <row r="150" spans="1:14">
      <c r="A150" s="10" t="s">
        <v>180</v>
      </c>
      <c r="B150" s="10" t="s">
        <v>212</v>
      </c>
      <c r="C150" s="10">
        <v>2070</v>
      </c>
      <c r="D150" s="10">
        <v>11</v>
      </c>
      <c r="E150" s="10" t="s">
        <v>158</v>
      </c>
      <c r="F150" s="18">
        <f>INDEX('Hoja 2 - Histórico'!$P$8:$P$19,MATCH(D150,'Hoja 2 - Histórico'!$N$8:$N$19,0))</f>
        <v>134.94666666666666</v>
      </c>
      <c r="G150" s="12">
        <v>124.2</v>
      </c>
      <c r="H150" s="18">
        <f t="shared" si="15"/>
        <v>-10.746666666666655</v>
      </c>
      <c r="I150" s="17">
        <f t="shared" si="16"/>
        <v>-7.9636399565260266E-2</v>
      </c>
      <c r="J150" s="10" t="s">
        <v>56</v>
      </c>
      <c r="K150" s="10" t="s">
        <v>223</v>
      </c>
      <c r="L150" s="10" t="s">
        <v>224</v>
      </c>
      <c r="M150" s="10" t="s">
        <v>225</v>
      </c>
      <c r="N150" s="15" t="str">
        <f t="shared" si="17"/>
        <v>OK</v>
      </c>
    </row>
    <row r="151" spans="1:14">
      <c r="A151" s="10" t="s">
        <v>180</v>
      </c>
      <c r="B151" s="10" t="s">
        <v>212</v>
      </c>
      <c r="C151" s="10">
        <v>2070</v>
      </c>
      <c r="D151" s="10">
        <v>12</v>
      </c>
      <c r="E151" s="10" t="s">
        <v>164</v>
      </c>
      <c r="F151" s="18">
        <f>INDEX('Hoja 2 - Histórico'!$P$8:$P$19,MATCH(D151,'Hoja 2 - Histórico'!$N$8:$N$19,0))</f>
        <v>80.049999999999983</v>
      </c>
      <c r="G151" s="12">
        <v>73.599999999999994</v>
      </c>
      <c r="H151" s="18">
        <f t="shared" si="15"/>
        <v>-6.4499999999999886</v>
      </c>
      <c r="I151" s="17">
        <f t="shared" si="16"/>
        <v>-8.0574640849468956E-2</v>
      </c>
      <c r="J151" s="10" t="s">
        <v>56</v>
      </c>
      <c r="K151" s="10" t="s">
        <v>223</v>
      </c>
      <c r="L151" s="10" t="s">
        <v>224</v>
      </c>
      <c r="M151" s="10" t="s">
        <v>225</v>
      </c>
      <c r="N151" s="15" t="str">
        <f t="shared" si="17"/>
        <v>OK</v>
      </c>
    </row>
    <row r="152" spans="1:14">
      <c r="A152" s="10" t="s">
        <v>180</v>
      </c>
      <c r="B152" s="10" t="s">
        <v>213</v>
      </c>
      <c r="C152" s="10">
        <v>2090</v>
      </c>
      <c r="D152" s="10">
        <v>1</v>
      </c>
      <c r="E152" s="10" t="s">
        <v>134</v>
      </c>
      <c r="F152" s="18">
        <f>INDEX('Hoja 2 - Histórico'!$P$8:$P$19,MATCH(D152,'Hoja 2 - Histórico'!$N$8:$N$19,0))</f>
        <v>64.923333333333346</v>
      </c>
      <c r="G152" s="12">
        <v>57.1</v>
      </c>
      <c r="H152" s="18">
        <f t="shared" si="15"/>
        <v>-7.8233333333333448</v>
      </c>
      <c r="I152" s="17">
        <f t="shared" si="16"/>
        <v>-0.12050110386609862</v>
      </c>
      <c r="J152" s="10" t="s">
        <v>56</v>
      </c>
      <c r="K152" s="10" t="s">
        <v>223</v>
      </c>
      <c r="L152" s="10" t="s">
        <v>224</v>
      </c>
      <c r="M152" s="10" t="s">
        <v>225</v>
      </c>
      <c r="N152" s="15" t="str">
        <f t="shared" si="17"/>
        <v>OK</v>
      </c>
    </row>
    <row r="153" spans="1:14">
      <c r="A153" s="10" t="s">
        <v>180</v>
      </c>
      <c r="B153" s="10" t="s">
        <v>213</v>
      </c>
      <c r="C153" s="10">
        <v>2090</v>
      </c>
      <c r="D153" s="10">
        <v>2</v>
      </c>
      <c r="E153" s="10" t="s">
        <v>141</v>
      </c>
      <c r="F153" s="18">
        <f>INDEX('Hoja 2 - Histórico'!$P$8:$P$19,MATCH(D153,'Hoja 2 - Histórico'!$N$8:$N$19,0))</f>
        <v>75.066666666666677</v>
      </c>
      <c r="G153" s="12">
        <v>66.099999999999994</v>
      </c>
      <c r="H153" s="18">
        <f t="shared" si="15"/>
        <v>-8.9666666666666828</v>
      </c>
      <c r="I153" s="17">
        <f t="shared" si="16"/>
        <v>-0.1194493783303732</v>
      </c>
      <c r="J153" s="10" t="s">
        <v>56</v>
      </c>
      <c r="K153" s="10" t="s">
        <v>223</v>
      </c>
      <c r="L153" s="10" t="s">
        <v>224</v>
      </c>
      <c r="M153" s="10" t="s">
        <v>225</v>
      </c>
      <c r="N153" s="15" t="str">
        <f t="shared" si="17"/>
        <v>OK</v>
      </c>
    </row>
    <row r="154" spans="1:14">
      <c r="A154" s="10" t="s">
        <v>180</v>
      </c>
      <c r="B154" s="10" t="s">
        <v>213</v>
      </c>
      <c r="C154" s="10">
        <v>2090</v>
      </c>
      <c r="D154" s="10">
        <v>3</v>
      </c>
      <c r="E154" s="10" t="s">
        <v>148</v>
      </c>
      <c r="F154" s="18">
        <f>INDEX('Hoja 2 - Histórico'!$P$8:$P$19,MATCH(D154,'Hoja 2 - Histórico'!$N$8:$N$19,0))</f>
        <v>110.1</v>
      </c>
      <c r="G154" s="12">
        <v>96.9</v>
      </c>
      <c r="H154" s="18">
        <f t="shared" si="15"/>
        <v>-13.199999999999989</v>
      </c>
      <c r="I154" s="17">
        <f t="shared" si="16"/>
        <v>-0.11989100817438682</v>
      </c>
      <c r="J154" s="10" t="s">
        <v>56</v>
      </c>
      <c r="K154" s="10" t="s">
        <v>223</v>
      </c>
      <c r="L154" s="10" t="s">
        <v>224</v>
      </c>
      <c r="M154" s="10" t="s">
        <v>225</v>
      </c>
      <c r="N154" s="15" t="str">
        <f t="shared" si="17"/>
        <v>OK</v>
      </c>
    </row>
    <row r="155" spans="1:14">
      <c r="A155" s="10" t="s">
        <v>180</v>
      </c>
      <c r="B155" s="10" t="s">
        <v>213</v>
      </c>
      <c r="C155" s="10">
        <v>2090</v>
      </c>
      <c r="D155" s="10">
        <v>4</v>
      </c>
      <c r="E155" s="10" t="s">
        <v>149</v>
      </c>
      <c r="F155" s="18">
        <f>INDEX('Hoja 2 - Histórico'!$P$8:$P$19,MATCH(D155,'Hoja 2 - Histórico'!$N$8:$N$19,0))</f>
        <v>154.96999999999991</v>
      </c>
      <c r="G155" s="12">
        <v>136.4</v>
      </c>
      <c r="H155" s="18">
        <f t="shared" si="15"/>
        <v>-18.569999999999908</v>
      </c>
      <c r="I155" s="17">
        <f t="shared" si="16"/>
        <v>-0.11982964444731185</v>
      </c>
      <c r="J155" s="10" t="s">
        <v>56</v>
      </c>
      <c r="K155" s="10" t="s">
        <v>223</v>
      </c>
      <c r="L155" s="10" t="s">
        <v>224</v>
      </c>
      <c r="M155" s="10" t="s">
        <v>225</v>
      </c>
      <c r="N155" s="15" t="str">
        <f t="shared" si="17"/>
        <v>OK</v>
      </c>
    </row>
    <row r="156" spans="1:14">
      <c r="A156" s="10" t="s">
        <v>180</v>
      </c>
      <c r="B156" s="10" t="s">
        <v>213</v>
      </c>
      <c r="C156" s="10">
        <v>2090</v>
      </c>
      <c r="D156" s="10">
        <v>5</v>
      </c>
      <c r="E156" s="10" t="s">
        <v>151</v>
      </c>
      <c r="F156" s="18">
        <f>INDEX('Hoja 2 - Histórico'!$P$8:$P$19,MATCH(D156,'Hoja 2 - Histórico'!$N$8:$N$19,0))</f>
        <v>139.87333333333333</v>
      </c>
      <c r="G156" s="12">
        <v>123.1</v>
      </c>
      <c r="H156" s="18">
        <f t="shared" si="15"/>
        <v>-16.773333333333341</v>
      </c>
      <c r="I156" s="17">
        <f t="shared" si="16"/>
        <v>-0.11991802106667943</v>
      </c>
      <c r="J156" s="10" t="s">
        <v>56</v>
      </c>
      <c r="K156" s="10" t="s">
        <v>223</v>
      </c>
      <c r="L156" s="10" t="s">
        <v>224</v>
      </c>
      <c r="M156" s="10" t="s">
        <v>225</v>
      </c>
      <c r="N156" s="15" t="str">
        <f t="shared" si="17"/>
        <v>OK</v>
      </c>
    </row>
    <row r="157" spans="1:14">
      <c r="A157" s="10" t="s">
        <v>180</v>
      </c>
      <c r="B157" s="10" t="s">
        <v>213</v>
      </c>
      <c r="C157" s="10">
        <v>2090</v>
      </c>
      <c r="D157" s="10">
        <v>6</v>
      </c>
      <c r="E157" s="10" t="s">
        <v>152</v>
      </c>
      <c r="F157" s="18">
        <f>INDEX('Hoja 2 - Histórico'!$P$8:$P$19,MATCH(D157,'Hoja 2 - Histórico'!$N$8:$N$19,0))</f>
        <v>84.956666666666663</v>
      </c>
      <c r="G157" s="12">
        <v>74.8</v>
      </c>
      <c r="H157" s="18">
        <f t="shared" si="15"/>
        <v>-10.156666666666666</v>
      </c>
      <c r="I157" s="17">
        <f t="shared" si="16"/>
        <v>-0.119551143720328</v>
      </c>
      <c r="J157" s="10" t="s">
        <v>56</v>
      </c>
      <c r="K157" s="10" t="s">
        <v>223</v>
      </c>
      <c r="L157" s="10" t="s">
        <v>224</v>
      </c>
      <c r="M157" s="10" t="s">
        <v>225</v>
      </c>
      <c r="N157" s="15" t="str">
        <f t="shared" si="17"/>
        <v>OK</v>
      </c>
    </row>
    <row r="158" spans="1:14">
      <c r="A158" s="10" t="s">
        <v>180</v>
      </c>
      <c r="B158" s="10" t="s">
        <v>213</v>
      </c>
      <c r="C158" s="10">
        <v>2090</v>
      </c>
      <c r="D158" s="10">
        <v>7</v>
      </c>
      <c r="E158" s="10" t="s">
        <v>153</v>
      </c>
      <c r="F158" s="18">
        <f>INDEX('Hoja 2 - Histórico'!$P$8:$P$19,MATCH(D158,'Hoja 2 - Histórico'!$N$8:$N$19,0))</f>
        <v>70.029999999999987</v>
      </c>
      <c r="G158" s="12">
        <v>61.6</v>
      </c>
      <c r="H158" s="18">
        <f t="shared" si="15"/>
        <v>-8.4299999999999855</v>
      </c>
      <c r="I158" s="17">
        <f t="shared" si="16"/>
        <v>-0.12037698129373108</v>
      </c>
      <c r="J158" s="10" t="s">
        <v>56</v>
      </c>
      <c r="K158" s="10" t="s">
        <v>223</v>
      </c>
      <c r="L158" s="10" t="s">
        <v>224</v>
      </c>
      <c r="M158" s="10" t="s">
        <v>225</v>
      </c>
      <c r="N158" s="15" t="str">
        <f t="shared" si="17"/>
        <v>OK</v>
      </c>
    </row>
    <row r="159" spans="1:14">
      <c r="A159" s="10" t="s">
        <v>180</v>
      </c>
      <c r="B159" s="10" t="s">
        <v>213</v>
      </c>
      <c r="C159" s="10">
        <v>2090</v>
      </c>
      <c r="D159" s="10">
        <v>8</v>
      </c>
      <c r="E159" s="10" t="s">
        <v>154</v>
      </c>
      <c r="F159" s="18">
        <f>INDEX('Hoja 2 - Histórico'!$P$8:$P$19,MATCH(D159,'Hoja 2 - Histórico'!$N$8:$N$19,0))</f>
        <v>75.036666666666662</v>
      </c>
      <c r="G159" s="12">
        <v>66</v>
      </c>
      <c r="H159" s="18">
        <f t="shared" si="15"/>
        <v>-9.0366666666666617</v>
      </c>
      <c r="I159" s="17">
        <f t="shared" si="16"/>
        <v>-0.12043001199413614</v>
      </c>
      <c r="J159" s="10" t="s">
        <v>56</v>
      </c>
      <c r="K159" s="10" t="s">
        <v>223</v>
      </c>
      <c r="L159" s="10" t="s">
        <v>224</v>
      </c>
      <c r="M159" s="10" t="s">
        <v>225</v>
      </c>
      <c r="N159" s="15" t="str">
        <f t="shared" si="17"/>
        <v>OK</v>
      </c>
    </row>
    <row r="160" spans="1:14">
      <c r="A160" s="10" t="s">
        <v>180</v>
      </c>
      <c r="B160" s="10" t="s">
        <v>213</v>
      </c>
      <c r="C160" s="10">
        <v>2090</v>
      </c>
      <c r="D160" s="10">
        <v>9</v>
      </c>
      <c r="E160" s="10" t="s">
        <v>155</v>
      </c>
      <c r="F160" s="18">
        <f>INDEX('Hoja 2 - Histórico'!$P$8:$P$19,MATCH(D160,'Hoja 2 - Histórico'!$N$8:$N$19,0))</f>
        <v>119.9666666666667</v>
      </c>
      <c r="G160" s="12">
        <v>105.6</v>
      </c>
      <c r="H160" s="18">
        <f t="shared" si="15"/>
        <v>-14.366666666666703</v>
      </c>
      <c r="I160" s="17">
        <f t="shared" si="16"/>
        <v>-0.11975548763545456</v>
      </c>
      <c r="J160" s="10" t="s">
        <v>56</v>
      </c>
      <c r="K160" s="10" t="s">
        <v>223</v>
      </c>
      <c r="L160" s="10" t="s">
        <v>224</v>
      </c>
      <c r="M160" s="10" t="s">
        <v>225</v>
      </c>
      <c r="N160" s="15" t="str">
        <f t="shared" si="17"/>
        <v>OK</v>
      </c>
    </row>
    <row r="161" spans="1:14">
      <c r="A161" s="10" t="s">
        <v>180</v>
      </c>
      <c r="B161" s="10" t="s">
        <v>213</v>
      </c>
      <c r="C161" s="10">
        <v>2090</v>
      </c>
      <c r="D161" s="10">
        <v>10</v>
      </c>
      <c r="E161" s="10" t="s">
        <v>157</v>
      </c>
      <c r="F161" s="18">
        <f>INDEX('Hoja 2 - Histórico'!$P$8:$P$19,MATCH(D161,'Hoja 2 - Histórico'!$N$8:$N$19,0))</f>
        <v>159.85333333333332</v>
      </c>
      <c r="G161" s="12">
        <v>140.69999999999999</v>
      </c>
      <c r="H161" s="18">
        <f t="shared" si="15"/>
        <v>-19.153333333333336</v>
      </c>
      <c r="I161" s="17">
        <f t="shared" si="16"/>
        <v>-0.11981816665276505</v>
      </c>
      <c r="J161" s="10" t="s">
        <v>56</v>
      </c>
      <c r="K161" s="10" t="s">
        <v>223</v>
      </c>
      <c r="L161" s="10" t="s">
        <v>224</v>
      </c>
      <c r="M161" s="10" t="s">
        <v>225</v>
      </c>
      <c r="N161" s="15" t="str">
        <f t="shared" si="17"/>
        <v>OK</v>
      </c>
    </row>
    <row r="162" spans="1:14">
      <c r="A162" s="10" t="s">
        <v>180</v>
      </c>
      <c r="B162" s="10" t="s">
        <v>213</v>
      </c>
      <c r="C162" s="10">
        <v>2090</v>
      </c>
      <c r="D162" s="10">
        <v>11</v>
      </c>
      <c r="E162" s="10" t="s">
        <v>158</v>
      </c>
      <c r="F162" s="18">
        <f>INDEX('Hoja 2 - Histórico'!$P$8:$P$19,MATCH(D162,'Hoja 2 - Histórico'!$N$8:$N$19,0))</f>
        <v>134.94666666666666</v>
      </c>
      <c r="G162" s="12">
        <v>118.8</v>
      </c>
      <c r="H162" s="18">
        <f t="shared" si="15"/>
        <v>-16.146666666666661</v>
      </c>
      <c r="I162" s="17">
        <f t="shared" si="16"/>
        <v>-0.11965220827981421</v>
      </c>
      <c r="J162" s="10" t="s">
        <v>56</v>
      </c>
      <c r="K162" s="10" t="s">
        <v>223</v>
      </c>
      <c r="L162" s="10" t="s">
        <v>224</v>
      </c>
      <c r="M162" s="10" t="s">
        <v>225</v>
      </c>
      <c r="N162" s="15" t="str">
        <f t="shared" si="17"/>
        <v>OK</v>
      </c>
    </row>
    <row r="163" spans="1:14">
      <c r="A163" s="10" t="s">
        <v>180</v>
      </c>
      <c r="B163" s="10" t="s">
        <v>213</v>
      </c>
      <c r="C163" s="10">
        <v>2090</v>
      </c>
      <c r="D163" s="10">
        <v>12</v>
      </c>
      <c r="E163" s="10" t="s">
        <v>164</v>
      </c>
      <c r="F163" s="18">
        <f>INDEX('Hoja 2 - Histórico'!$P$8:$P$19,MATCH(D163,'Hoja 2 - Histórico'!$N$8:$N$19,0))</f>
        <v>80.049999999999983</v>
      </c>
      <c r="G163" s="12">
        <v>70.400000000000006</v>
      </c>
      <c r="H163" s="18">
        <f t="shared" si="15"/>
        <v>-9.6499999999999773</v>
      </c>
      <c r="I163" s="17">
        <f t="shared" si="16"/>
        <v>-0.1205496564647093</v>
      </c>
      <c r="J163" s="10" t="s">
        <v>56</v>
      </c>
      <c r="K163" s="10" t="s">
        <v>223</v>
      </c>
      <c r="L163" s="10" t="s">
        <v>224</v>
      </c>
      <c r="M163" s="10" t="s">
        <v>225</v>
      </c>
      <c r="N163" s="15" t="str">
        <f t="shared" si="17"/>
        <v>OK</v>
      </c>
    </row>
    <row r="164" spans="1:14">
      <c r="A164" s="10" t="s">
        <v>181</v>
      </c>
      <c r="B164" s="10" t="s">
        <v>189</v>
      </c>
      <c r="C164" s="10">
        <v>2030</v>
      </c>
      <c r="D164" s="10">
        <v>1</v>
      </c>
      <c r="E164" s="10" t="s">
        <v>134</v>
      </c>
      <c r="F164" s="18">
        <f>INDEX('Hoja 2 - Histórico'!$P$8:$P$19,MATCH(D164,'Hoja 2 - Histórico'!$N$8:$N$19,0))</f>
        <v>64.923333333333346</v>
      </c>
      <c r="G164" s="12">
        <v>63.6</v>
      </c>
      <c r="H164" s="18">
        <f t="shared" si="15"/>
        <v>-1.3233333333333448</v>
      </c>
      <c r="I164" s="17">
        <f t="shared" si="16"/>
        <v>-2.0383015864866426E-2</v>
      </c>
      <c r="J164" s="10" t="s">
        <v>56</v>
      </c>
      <c r="K164" s="10" t="s">
        <v>223</v>
      </c>
      <c r="L164" s="10" t="s">
        <v>224</v>
      </c>
      <c r="M164" s="10" t="s">
        <v>225</v>
      </c>
      <c r="N164" s="15" t="str">
        <f t="shared" si="17"/>
        <v>OK</v>
      </c>
    </row>
    <row r="165" spans="1:14">
      <c r="A165" s="10" t="s">
        <v>181</v>
      </c>
      <c r="B165" s="10" t="s">
        <v>189</v>
      </c>
      <c r="C165" s="10">
        <v>2030</v>
      </c>
      <c r="D165" s="10">
        <v>2</v>
      </c>
      <c r="E165" s="10" t="s">
        <v>141</v>
      </c>
      <c r="F165" s="18">
        <f>INDEX('Hoja 2 - Histórico'!$P$8:$P$19,MATCH(D165,'Hoja 2 - Histórico'!$N$8:$N$19,0))</f>
        <v>75.066666666666677</v>
      </c>
      <c r="G165" s="12">
        <v>73.599999999999994</v>
      </c>
      <c r="H165" s="18">
        <f t="shared" si="15"/>
        <v>-1.4666666666666828</v>
      </c>
      <c r="I165" s="17">
        <f t="shared" si="16"/>
        <v>-1.9538188277087247E-2</v>
      </c>
      <c r="J165" s="10" t="s">
        <v>56</v>
      </c>
      <c r="K165" s="10" t="s">
        <v>223</v>
      </c>
      <c r="L165" s="10" t="s">
        <v>224</v>
      </c>
      <c r="M165" s="10" t="s">
        <v>225</v>
      </c>
      <c r="N165" s="15" t="str">
        <f t="shared" si="17"/>
        <v>OK</v>
      </c>
    </row>
    <row r="166" spans="1:14">
      <c r="A166" s="10" t="s">
        <v>181</v>
      </c>
      <c r="B166" s="10" t="s">
        <v>189</v>
      </c>
      <c r="C166" s="10">
        <v>2030</v>
      </c>
      <c r="D166" s="10">
        <v>3</v>
      </c>
      <c r="E166" s="10" t="s">
        <v>148</v>
      </c>
      <c r="F166" s="18">
        <f>INDEX('Hoja 2 - Histórico'!$P$8:$P$19,MATCH(D166,'Hoja 2 - Histórico'!$N$8:$N$19,0))</f>
        <v>110.1</v>
      </c>
      <c r="G166" s="12">
        <v>107.9</v>
      </c>
      <c r="H166" s="18">
        <f t="shared" si="15"/>
        <v>-2.1999999999999886</v>
      </c>
      <c r="I166" s="17">
        <f t="shared" si="16"/>
        <v>-1.998183469573105E-2</v>
      </c>
      <c r="J166" s="10" t="s">
        <v>56</v>
      </c>
      <c r="K166" s="10" t="s">
        <v>223</v>
      </c>
      <c r="L166" s="10" t="s">
        <v>224</v>
      </c>
      <c r="M166" s="10" t="s">
        <v>225</v>
      </c>
      <c r="N166" s="15" t="str">
        <f t="shared" si="17"/>
        <v>OK</v>
      </c>
    </row>
    <row r="167" spans="1:14">
      <c r="A167" s="10" t="s">
        <v>181</v>
      </c>
      <c r="B167" s="10" t="s">
        <v>189</v>
      </c>
      <c r="C167" s="10">
        <v>2030</v>
      </c>
      <c r="D167" s="10">
        <v>4</v>
      </c>
      <c r="E167" s="10" t="s">
        <v>149</v>
      </c>
      <c r="F167" s="18">
        <f>INDEX('Hoja 2 - Histórico'!$P$8:$P$19,MATCH(D167,'Hoja 2 - Histórico'!$N$8:$N$19,0))</f>
        <v>154.96999999999991</v>
      </c>
      <c r="G167" s="12">
        <v>151.9</v>
      </c>
      <c r="H167" s="18">
        <f t="shared" si="15"/>
        <v>-3.0699999999999079</v>
      </c>
      <c r="I167" s="17">
        <f t="shared" si="16"/>
        <v>-1.9810285861779117E-2</v>
      </c>
      <c r="J167" s="10" t="s">
        <v>56</v>
      </c>
      <c r="K167" s="10" t="s">
        <v>223</v>
      </c>
      <c r="L167" s="10" t="s">
        <v>224</v>
      </c>
      <c r="M167" s="10" t="s">
        <v>225</v>
      </c>
      <c r="N167" s="15" t="str">
        <f t="shared" si="17"/>
        <v>OK</v>
      </c>
    </row>
    <row r="168" spans="1:14">
      <c r="A168" s="10" t="s">
        <v>181</v>
      </c>
      <c r="B168" s="10" t="s">
        <v>189</v>
      </c>
      <c r="C168" s="10">
        <v>2030</v>
      </c>
      <c r="D168" s="10">
        <v>5</v>
      </c>
      <c r="E168" s="10" t="s">
        <v>151</v>
      </c>
      <c r="F168" s="18">
        <f>INDEX('Hoja 2 - Histórico'!$P$8:$P$19,MATCH(D168,'Hoja 2 - Histórico'!$N$8:$N$19,0))</f>
        <v>139.87333333333333</v>
      </c>
      <c r="G168" s="12">
        <v>137.1</v>
      </c>
      <c r="H168" s="18">
        <f t="shared" si="15"/>
        <v>-2.7733333333333405</v>
      </c>
      <c r="I168" s="17">
        <f t="shared" si="16"/>
        <v>-1.9827462942662459E-2</v>
      </c>
      <c r="J168" s="10" t="s">
        <v>56</v>
      </c>
      <c r="K168" s="10" t="s">
        <v>223</v>
      </c>
      <c r="L168" s="10" t="s">
        <v>224</v>
      </c>
      <c r="M168" s="10" t="s">
        <v>225</v>
      </c>
      <c r="N168" s="15" t="str">
        <f t="shared" si="17"/>
        <v>OK</v>
      </c>
    </row>
    <row r="169" spans="1:14">
      <c r="A169" s="10" t="s">
        <v>181</v>
      </c>
      <c r="B169" s="10" t="s">
        <v>189</v>
      </c>
      <c r="C169" s="10">
        <v>2030</v>
      </c>
      <c r="D169" s="10">
        <v>6</v>
      </c>
      <c r="E169" s="10" t="s">
        <v>152</v>
      </c>
      <c r="F169" s="18">
        <f>INDEX('Hoja 2 - Histórico'!$P$8:$P$19,MATCH(D169,'Hoja 2 - Histórico'!$N$8:$N$19,0))</f>
        <v>84.956666666666663</v>
      </c>
      <c r="G169" s="12">
        <v>83.3</v>
      </c>
      <c r="H169" s="18">
        <f t="shared" si="15"/>
        <v>-1.6566666666666663</v>
      </c>
      <c r="I169" s="17">
        <f t="shared" si="16"/>
        <v>-1.9500137324910734E-2</v>
      </c>
      <c r="J169" s="10" t="s">
        <v>56</v>
      </c>
      <c r="K169" s="10" t="s">
        <v>223</v>
      </c>
      <c r="L169" s="10" t="s">
        <v>224</v>
      </c>
      <c r="M169" s="10" t="s">
        <v>225</v>
      </c>
      <c r="N169" s="15" t="str">
        <f t="shared" si="17"/>
        <v>OK</v>
      </c>
    </row>
    <row r="170" spans="1:14">
      <c r="A170" s="10" t="s">
        <v>181</v>
      </c>
      <c r="B170" s="10" t="s">
        <v>189</v>
      </c>
      <c r="C170" s="10">
        <v>2030</v>
      </c>
      <c r="D170" s="10">
        <v>7</v>
      </c>
      <c r="E170" s="10" t="s">
        <v>153</v>
      </c>
      <c r="F170" s="18">
        <f>INDEX('Hoja 2 - Histórico'!$P$8:$P$19,MATCH(D170,'Hoja 2 - Histórico'!$N$8:$N$19,0))</f>
        <v>70.029999999999987</v>
      </c>
      <c r="G170" s="12">
        <v>68.599999999999994</v>
      </c>
      <c r="H170" s="18">
        <f t="shared" si="15"/>
        <v>-1.4299999999999926</v>
      </c>
      <c r="I170" s="17">
        <f t="shared" si="16"/>
        <v>-2.0419820077109709E-2</v>
      </c>
      <c r="J170" s="10" t="s">
        <v>56</v>
      </c>
      <c r="K170" s="10" t="s">
        <v>223</v>
      </c>
      <c r="L170" s="10" t="s">
        <v>224</v>
      </c>
      <c r="M170" s="10" t="s">
        <v>225</v>
      </c>
      <c r="N170" s="15" t="str">
        <f t="shared" si="17"/>
        <v>OK</v>
      </c>
    </row>
    <row r="171" spans="1:14">
      <c r="A171" s="10" t="s">
        <v>181</v>
      </c>
      <c r="B171" s="10" t="s">
        <v>189</v>
      </c>
      <c r="C171" s="10">
        <v>2030</v>
      </c>
      <c r="D171" s="10">
        <v>8</v>
      </c>
      <c r="E171" s="10" t="s">
        <v>154</v>
      </c>
      <c r="F171" s="18">
        <f>INDEX('Hoja 2 - Histórico'!$P$8:$P$19,MATCH(D171,'Hoja 2 - Histórico'!$N$8:$N$19,0))</f>
        <v>75.036666666666662</v>
      </c>
      <c r="G171" s="12">
        <v>73.5</v>
      </c>
      <c r="H171" s="18">
        <f t="shared" si="15"/>
        <v>-1.5366666666666617</v>
      </c>
      <c r="I171" s="17">
        <f t="shared" si="16"/>
        <v>-2.0478876993469796E-2</v>
      </c>
      <c r="J171" s="10" t="s">
        <v>56</v>
      </c>
      <c r="K171" s="10" t="s">
        <v>223</v>
      </c>
      <c r="L171" s="10" t="s">
        <v>224</v>
      </c>
      <c r="M171" s="10" t="s">
        <v>225</v>
      </c>
      <c r="N171" s="15" t="str">
        <f t="shared" si="17"/>
        <v>OK</v>
      </c>
    </row>
    <row r="172" spans="1:14">
      <c r="A172" s="10" t="s">
        <v>181</v>
      </c>
      <c r="B172" s="10" t="s">
        <v>189</v>
      </c>
      <c r="C172" s="10">
        <v>2030</v>
      </c>
      <c r="D172" s="10">
        <v>9</v>
      </c>
      <c r="E172" s="10" t="s">
        <v>155</v>
      </c>
      <c r="F172" s="18">
        <f>INDEX('Hoja 2 - Histórico'!$P$8:$P$19,MATCH(D172,'Hoja 2 - Histórico'!$N$8:$N$19,0))</f>
        <v>119.9666666666667</v>
      </c>
      <c r="G172" s="12">
        <v>117.6</v>
      </c>
      <c r="H172" s="18">
        <f t="shared" si="15"/>
        <v>-2.3666666666667027</v>
      </c>
      <c r="I172" s="17">
        <f t="shared" si="16"/>
        <v>-1.9727702139483484E-2</v>
      </c>
      <c r="J172" s="10" t="s">
        <v>56</v>
      </c>
      <c r="K172" s="10" t="s">
        <v>223</v>
      </c>
      <c r="L172" s="10" t="s">
        <v>224</v>
      </c>
      <c r="M172" s="10" t="s">
        <v>225</v>
      </c>
      <c r="N172" s="15" t="str">
        <f t="shared" si="17"/>
        <v>OK</v>
      </c>
    </row>
    <row r="173" spans="1:14">
      <c r="A173" s="10" t="s">
        <v>181</v>
      </c>
      <c r="B173" s="10" t="s">
        <v>189</v>
      </c>
      <c r="C173" s="10">
        <v>2030</v>
      </c>
      <c r="D173" s="10">
        <v>10</v>
      </c>
      <c r="E173" s="10" t="s">
        <v>157</v>
      </c>
      <c r="F173" s="18">
        <f>INDEX('Hoja 2 - Histórico'!$P$8:$P$19,MATCH(D173,'Hoja 2 - Histórico'!$N$8:$N$19,0))</f>
        <v>159.85333333333332</v>
      </c>
      <c r="G173" s="12">
        <v>156.69999999999999</v>
      </c>
      <c r="H173" s="18">
        <f t="shared" si="15"/>
        <v>-3.153333333333336</v>
      </c>
      <c r="I173" s="17">
        <f t="shared" si="16"/>
        <v>-1.9726415881224472E-2</v>
      </c>
      <c r="J173" s="10" t="s">
        <v>56</v>
      </c>
      <c r="K173" s="10" t="s">
        <v>223</v>
      </c>
      <c r="L173" s="10" t="s">
        <v>224</v>
      </c>
      <c r="M173" s="10" t="s">
        <v>225</v>
      </c>
      <c r="N173" s="15" t="str">
        <f t="shared" si="17"/>
        <v>OK</v>
      </c>
    </row>
    <row r="174" spans="1:14">
      <c r="A174" s="10" t="s">
        <v>181</v>
      </c>
      <c r="B174" s="10" t="s">
        <v>189</v>
      </c>
      <c r="C174" s="10">
        <v>2030</v>
      </c>
      <c r="D174" s="10">
        <v>11</v>
      </c>
      <c r="E174" s="10" t="s">
        <v>158</v>
      </c>
      <c r="F174" s="18">
        <f>INDEX('Hoja 2 - Histórico'!$P$8:$P$19,MATCH(D174,'Hoja 2 - Histórico'!$N$8:$N$19,0))</f>
        <v>134.94666666666666</v>
      </c>
      <c r="G174" s="12">
        <v>132.19999999999999</v>
      </c>
      <c r="H174" s="18">
        <f t="shared" si="15"/>
        <v>-2.7466666666666697</v>
      </c>
      <c r="I174" s="17">
        <f t="shared" si="16"/>
        <v>-2.0353719988143486E-2</v>
      </c>
      <c r="J174" s="10" t="s">
        <v>56</v>
      </c>
      <c r="K174" s="10" t="s">
        <v>223</v>
      </c>
      <c r="L174" s="10" t="s">
        <v>224</v>
      </c>
      <c r="M174" s="10" t="s">
        <v>225</v>
      </c>
      <c r="N174" s="15" t="str">
        <f t="shared" si="17"/>
        <v>OK</v>
      </c>
    </row>
    <row r="175" spans="1:14">
      <c r="A175" s="10" t="s">
        <v>181</v>
      </c>
      <c r="B175" s="10" t="s">
        <v>189</v>
      </c>
      <c r="C175" s="10">
        <v>2030</v>
      </c>
      <c r="D175" s="10">
        <v>12</v>
      </c>
      <c r="E175" s="10" t="s">
        <v>164</v>
      </c>
      <c r="F175" s="18">
        <f>INDEX('Hoja 2 - Histórico'!$P$8:$P$19,MATCH(D175,'Hoja 2 - Histórico'!$N$8:$N$19,0))</f>
        <v>80.049999999999983</v>
      </c>
      <c r="G175" s="12">
        <v>78.400000000000006</v>
      </c>
      <c r="H175" s="18">
        <f t="shared" si="15"/>
        <v>-1.6499999999999773</v>
      </c>
      <c r="I175" s="17">
        <f t="shared" si="16"/>
        <v>-2.0612117426608092E-2</v>
      </c>
      <c r="J175" s="10" t="s">
        <v>56</v>
      </c>
      <c r="K175" s="10" t="s">
        <v>223</v>
      </c>
      <c r="L175" s="10" t="s">
        <v>224</v>
      </c>
      <c r="M175" s="10" t="s">
        <v>225</v>
      </c>
      <c r="N175" s="15" t="str">
        <f t="shared" si="17"/>
        <v>OK</v>
      </c>
    </row>
    <row r="176" spans="1:14">
      <c r="A176" s="10" t="s">
        <v>181</v>
      </c>
      <c r="B176" s="10" t="s">
        <v>199</v>
      </c>
      <c r="C176" s="10">
        <v>2050</v>
      </c>
      <c r="D176" s="10">
        <v>1</v>
      </c>
      <c r="E176" s="10" t="s">
        <v>134</v>
      </c>
      <c r="F176" s="18">
        <f>INDEX('Hoja 2 - Histórico'!$P$8:$P$19,MATCH(D176,'Hoja 2 - Histórico'!$N$8:$N$19,0))</f>
        <v>64.923333333333346</v>
      </c>
      <c r="G176" s="12">
        <v>61</v>
      </c>
      <c r="H176" s="18">
        <f t="shared" si="15"/>
        <v>-3.9233333333333462</v>
      </c>
      <c r="I176" s="17">
        <f t="shared" si="16"/>
        <v>-6.0430251065359326E-2</v>
      </c>
      <c r="J176" s="10" t="s">
        <v>56</v>
      </c>
      <c r="K176" s="10" t="s">
        <v>223</v>
      </c>
      <c r="L176" s="10" t="s">
        <v>224</v>
      </c>
      <c r="M176" s="10" t="s">
        <v>225</v>
      </c>
      <c r="N176" s="15" t="str">
        <f t="shared" si="17"/>
        <v>OK</v>
      </c>
    </row>
    <row r="177" spans="1:14">
      <c r="A177" s="10" t="s">
        <v>181</v>
      </c>
      <c r="B177" s="10" t="s">
        <v>199</v>
      </c>
      <c r="C177" s="10">
        <v>2050</v>
      </c>
      <c r="D177" s="10">
        <v>2</v>
      </c>
      <c r="E177" s="10" t="s">
        <v>141</v>
      </c>
      <c r="F177" s="18">
        <f>INDEX('Hoja 2 - Histórico'!$P$8:$P$19,MATCH(D177,'Hoja 2 - Histórico'!$N$8:$N$19,0))</f>
        <v>75.066666666666677</v>
      </c>
      <c r="G177" s="12">
        <v>70.599999999999994</v>
      </c>
      <c r="H177" s="18">
        <f t="shared" si="15"/>
        <v>-4.4666666666666828</v>
      </c>
      <c r="I177" s="17">
        <f t="shared" si="16"/>
        <v>-5.9502664298401627E-2</v>
      </c>
      <c r="J177" s="10" t="s">
        <v>56</v>
      </c>
      <c r="K177" s="10" t="s">
        <v>223</v>
      </c>
      <c r="L177" s="10" t="s">
        <v>224</v>
      </c>
      <c r="M177" s="10" t="s">
        <v>225</v>
      </c>
      <c r="N177" s="15" t="str">
        <f t="shared" si="17"/>
        <v>OK</v>
      </c>
    </row>
    <row r="178" spans="1:14">
      <c r="A178" s="10" t="s">
        <v>181</v>
      </c>
      <c r="B178" s="10" t="s">
        <v>199</v>
      </c>
      <c r="C178" s="10">
        <v>2050</v>
      </c>
      <c r="D178" s="10">
        <v>3</v>
      </c>
      <c r="E178" s="10" t="s">
        <v>148</v>
      </c>
      <c r="F178" s="18">
        <f>INDEX('Hoja 2 - Histórico'!$P$8:$P$19,MATCH(D178,'Hoja 2 - Histórico'!$N$8:$N$19,0))</f>
        <v>110.1</v>
      </c>
      <c r="G178" s="12">
        <v>103.5</v>
      </c>
      <c r="H178" s="18">
        <f t="shared" si="15"/>
        <v>-6.5999999999999943</v>
      </c>
      <c r="I178" s="17">
        <f t="shared" si="16"/>
        <v>-5.9945504087193409E-2</v>
      </c>
      <c r="J178" s="10" t="s">
        <v>56</v>
      </c>
      <c r="K178" s="10" t="s">
        <v>223</v>
      </c>
      <c r="L178" s="10" t="s">
        <v>224</v>
      </c>
      <c r="M178" s="10" t="s">
        <v>225</v>
      </c>
      <c r="N178" s="15" t="str">
        <f t="shared" si="17"/>
        <v>OK</v>
      </c>
    </row>
    <row r="179" spans="1:14">
      <c r="A179" s="10" t="s">
        <v>181</v>
      </c>
      <c r="B179" s="10" t="s">
        <v>199</v>
      </c>
      <c r="C179" s="10">
        <v>2050</v>
      </c>
      <c r="D179" s="10">
        <v>4</v>
      </c>
      <c r="E179" s="10" t="s">
        <v>149</v>
      </c>
      <c r="F179" s="18">
        <f>INDEX('Hoja 2 - Histórico'!$P$8:$P$19,MATCH(D179,'Hoja 2 - Histórico'!$N$8:$N$19,0))</f>
        <v>154.96999999999991</v>
      </c>
      <c r="G179" s="12">
        <v>145.69999999999999</v>
      </c>
      <c r="H179" s="18">
        <f t="shared" si="15"/>
        <v>-9.269999999999925</v>
      </c>
      <c r="I179" s="17">
        <f t="shared" si="16"/>
        <v>-5.9818029295992323E-2</v>
      </c>
      <c r="J179" s="10" t="s">
        <v>56</v>
      </c>
      <c r="K179" s="10" t="s">
        <v>223</v>
      </c>
      <c r="L179" s="10" t="s">
        <v>224</v>
      </c>
      <c r="M179" s="10" t="s">
        <v>225</v>
      </c>
      <c r="N179" s="15" t="str">
        <f t="shared" si="17"/>
        <v>OK</v>
      </c>
    </row>
    <row r="180" spans="1:14">
      <c r="A180" s="10" t="s">
        <v>181</v>
      </c>
      <c r="B180" s="10" t="s">
        <v>199</v>
      </c>
      <c r="C180" s="10">
        <v>2050</v>
      </c>
      <c r="D180" s="10">
        <v>5</v>
      </c>
      <c r="E180" s="10" t="s">
        <v>151</v>
      </c>
      <c r="F180" s="18">
        <f>INDEX('Hoja 2 - Histórico'!$P$8:$P$19,MATCH(D180,'Hoja 2 - Histórico'!$N$8:$N$19,0))</f>
        <v>139.87333333333333</v>
      </c>
      <c r="G180" s="12">
        <v>131.5</v>
      </c>
      <c r="H180" s="18">
        <f t="shared" ref="H180:H211" si="18">G180-F180</f>
        <v>-8.3733333333333348</v>
      </c>
      <c r="I180" s="17">
        <f t="shared" ref="I180:I211" si="19">IF(F180=0,"",(G180-F180)/F180)</f>
        <v>-5.9863686192269207E-2</v>
      </c>
      <c r="J180" s="10" t="s">
        <v>56</v>
      </c>
      <c r="K180" s="10" t="s">
        <v>223</v>
      </c>
      <c r="L180" s="10" t="s">
        <v>224</v>
      </c>
      <c r="M180" s="10" t="s">
        <v>225</v>
      </c>
      <c r="N180" s="15" t="str">
        <f t="shared" ref="N180:N211" si="20">IF(OR(G180&lt;0,J180&lt;&gt;"mm",K180="",L180=""),"REVISAR","OK")</f>
        <v>OK</v>
      </c>
    </row>
    <row r="181" spans="1:14">
      <c r="A181" s="10" t="s">
        <v>181</v>
      </c>
      <c r="B181" s="10" t="s">
        <v>199</v>
      </c>
      <c r="C181" s="10">
        <v>2050</v>
      </c>
      <c r="D181" s="10">
        <v>6</v>
      </c>
      <c r="E181" s="10" t="s">
        <v>152</v>
      </c>
      <c r="F181" s="18">
        <f>INDEX('Hoja 2 - Histórico'!$P$8:$P$19,MATCH(D181,'Hoja 2 - Histórico'!$N$8:$N$19,0))</f>
        <v>84.956666666666663</v>
      </c>
      <c r="G181" s="12">
        <v>79.900000000000006</v>
      </c>
      <c r="H181" s="18">
        <f t="shared" si="18"/>
        <v>-5.0566666666666578</v>
      </c>
      <c r="I181" s="17">
        <f t="shared" si="19"/>
        <v>-5.9520539883077546E-2</v>
      </c>
      <c r="J181" s="10" t="s">
        <v>56</v>
      </c>
      <c r="K181" s="10" t="s">
        <v>223</v>
      </c>
      <c r="L181" s="10" t="s">
        <v>224</v>
      </c>
      <c r="M181" s="10" t="s">
        <v>225</v>
      </c>
      <c r="N181" s="15" t="str">
        <f t="shared" si="20"/>
        <v>OK</v>
      </c>
    </row>
    <row r="182" spans="1:14">
      <c r="A182" s="10" t="s">
        <v>181</v>
      </c>
      <c r="B182" s="10" t="s">
        <v>199</v>
      </c>
      <c r="C182" s="10">
        <v>2050</v>
      </c>
      <c r="D182" s="10">
        <v>7</v>
      </c>
      <c r="E182" s="10" t="s">
        <v>153</v>
      </c>
      <c r="F182" s="18">
        <f>INDEX('Hoja 2 - Histórico'!$P$8:$P$19,MATCH(D182,'Hoja 2 - Histórico'!$N$8:$N$19,0))</f>
        <v>70.029999999999987</v>
      </c>
      <c r="G182" s="12">
        <v>65.8</v>
      </c>
      <c r="H182" s="18">
        <f t="shared" si="18"/>
        <v>-4.2299999999999898</v>
      </c>
      <c r="I182" s="17">
        <f t="shared" si="19"/>
        <v>-6.0402684563758254E-2</v>
      </c>
      <c r="J182" s="10" t="s">
        <v>56</v>
      </c>
      <c r="K182" s="10" t="s">
        <v>223</v>
      </c>
      <c r="L182" s="10" t="s">
        <v>224</v>
      </c>
      <c r="M182" s="10" t="s">
        <v>225</v>
      </c>
      <c r="N182" s="15" t="str">
        <f t="shared" si="20"/>
        <v>OK</v>
      </c>
    </row>
    <row r="183" spans="1:14">
      <c r="A183" s="10" t="s">
        <v>181</v>
      </c>
      <c r="B183" s="10" t="s">
        <v>199</v>
      </c>
      <c r="C183" s="10">
        <v>2050</v>
      </c>
      <c r="D183" s="10">
        <v>8</v>
      </c>
      <c r="E183" s="10" t="s">
        <v>154</v>
      </c>
      <c r="F183" s="18">
        <f>INDEX('Hoja 2 - Histórico'!$P$8:$P$19,MATCH(D183,'Hoja 2 - Histórico'!$N$8:$N$19,0))</f>
        <v>75.036666666666662</v>
      </c>
      <c r="G183" s="12">
        <v>70.5</v>
      </c>
      <c r="H183" s="18">
        <f t="shared" si="18"/>
        <v>-4.5366666666666617</v>
      </c>
      <c r="I183" s="17">
        <f t="shared" si="19"/>
        <v>-6.0459330993736335E-2</v>
      </c>
      <c r="J183" s="10" t="s">
        <v>56</v>
      </c>
      <c r="K183" s="10" t="s">
        <v>223</v>
      </c>
      <c r="L183" s="10" t="s">
        <v>224</v>
      </c>
      <c r="M183" s="10" t="s">
        <v>225</v>
      </c>
      <c r="N183" s="15" t="str">
        <f t="shared" si="20"/>
        <v>OK</v>
      </c>
    </row>
    <row r="184" spans="1:14">
      <c r="A184" s="10" t="s">
        <v>181</v>
      </c>
      <c r="B184" s="10" t="s">
        <v>199</v>
      </c>
      <c r="C184" s="10">
        <v>2050</v>
      </c>
      <c r="D184" s="10">
        <v>9</v>
      </c>
      <c r="E184" s="10" t="s">
        <v>155</v>
      </c>
      <c r="F184" s="18">
        <f>INDEX('Hoja 2 - Histórico'!$P$8:$P$19,MATCH(D184,'Hoja 2 - Histórico'!$N$8:$N$19,0))</f>
        <v>119.9666666666667</v>
      </c>
      <c r="G184" s="12">
        <v>112.8</v>
      </c>
      <c r="H184" s="18">
        <f t="shared" si="18"/>
        <v>-7.1666666666666998</v>
      </c>
      <c r="I184" s="17">
        <f t="shared" si="19"/>
        <v>-5.973881633787189E-2</v>
      </c>
      <c r="J184" s="10" t="s">
        <v>56</v>
      </c>
      <c r="K184" s="10" t="s">
        <v>223</v>
      </c>
      <c r="L184" s="10" t="s">
        <v>224</v>
      </c>
      <c r="M184" s="10" t="s">
        <v>225</v>
      </c>
      <c r="N184" s="15" t="str">
        <f t="shared" si="20"/>
        <v>OK</v>
      </c>
    </row>
    <row r="185" spans="1:14">
      <c r="A185" s="10" t="s">
        <v>181</v>
      </c>
      <c r="B185" s="10" t="s">
        <v>199</v>
      </c>
      <c r="C185" s="10">
        <v>2050</v>
      </c>
      <c r="D185" s="10">
        <v>10</v>
      </c>
      <c r="E185" s="10" t="s">
        <v>157</v>
      </c>
      <c r="F185" s="18">
        <f>INDEX('Hoja 2 - Histórico'!$P$8:$P$19,MATCH(D185,'Hoja 2 - Histórico'!$N$8:$N$19,0))</f>
        <v>159.85333333333332</v>
      </c>
      <c r="G185" s="12">
        <v>150.30000000000001</v>
      </c>
      <c r="H185" s="18">
        <f t="shared" si="18"/>
        <v>-9.5533333333333132</v>
      </c>
      <c r="I185" s="17">
        <f t="shared" si="19"/>
        <v>-5.9763116189840565E-2</v>
      </c>
      <c r="J185" s="10" t="s">
        <v>56</v>
      </c>
      <c r="K185" s="10" t="s">
        <v>223</v>
      </c>
      <c r="L185" s="10" t="s">
        <v>224</v>
      </c>
      <c r="M185" s="10" t="s">
        <v>225</v>
      </c>
      <c r="N185" s="15" t="str">
        <f t="shared" si="20"/>
        <v>OK</v>
      </c>
    </row>
    <row r="186" spans="1:14">
      <c r="A186" s="10" t="s">
        <v>181</v>
      </c>
      <c r="B186" s="10" t="s">
        <v>199</v>
      </c>
      <c r="C186" s="10">
        <v>2050</v>
      </c>
      <c r="D186" s="10">
        <v>11</v>
      </c>
      <c r="E186" s="10" t="s">
        <v>158</v>
      </c>
      <c r="F186" s="18">
        <f>INDEX('Hoja 2 - Histórico'!$P$8:$P$19,MATCH(D186,'Hoja 2 - Histórico'!$N$8:$N$19,0))</f>
        <v>134.94666666666666</v>
      </c>
      <c r="G186" s="12">
        <v>126.8</v>
      </c>
      <c r="H186" s="18">
        <f t="shared" si="18"/>
        <v>-8.1466666666666612</v>
      </c>
      <c r="I186" s="17">
        <f t="shared" si="19"/>
        <v>-6.0369528702697323E-2</v>
      </c>
      <c r="J186" s="10" t="s">
        <v>56</v>
      </c>
      <c r="K186" s="10" t="s">
        <v>223</v>
      </c>
      <c r="L186" s="10" t="s">
        <v>224</v>
      </c>
      <c r="M186" s="10" t="s">
        <v>225</v>
      </c>
      <c r="N186" s="15" t="str">
        <f t="shared" si="20"/>
        <v>OK</v>
      </c>
    </row>
    <row r="187" spans="1:14">
      <c r="A187" s="10" t="s">
        <v>181</v>
      </c>
      <c r="B187" s="10" t="s">
        <v>199</v>
      </c>
      <c r="C187" s="10">
        <v>2050</v>
      </c>
      <c r="D187" s="10">
        <v>12</v>
      </c>
      <c r="E187" s="10" t="s">
        <v>164</v>
      </c>
      <c r="F187" s="18">
        <f>INDEX('Hoja 2 - Histórico'!$P$8:$P$19,MATCH(D187,'Hoja 2 - Histórico'!$N$8:$N$19,0))</f>
        <v>80.049999999999983</v>
      </c>
      <c r="G187" s="12">
        <v>75.2</v>
      </c>
      <c r="H187" s="18">
        <f t="shared" si="18"/>
        <v>-4.8499999999999801</v>
      </c>
      <c r="I187" s="17">
        <f t="shared" si="19"/>
        <v>-6.0587133041848609E-2</v>
      </c>
      <c r="J187" s="10" t="s">
        <v>56</v>
      </c>
      <c r="K187" s="10" t="s">
        <v>223</v>
      </c>
      <c r="L187" s="10" t="s">
        <v>224</v>
      </c>
      <c r="M187" s="10" t="s">
        <v>225</v>
      </c>
      <c r="N187" s="15" t="str">
        <f t="shared" si="20"/>
        <v>OK</v>
      </c>
    </row>
    <row r="188" spans="1:14">
      <c r="A188" s="10" t="s">
        <v>181</v>
      </c>
      <c r="B188" s="10" t="s">
        <v>212</v>
      </c>
      <c r="C188" s="10">
        <v>2070</v>
      </c>
      <c r="D188" s="10">
        <v>1</v>
      </c>
      <c r="E188" s="10" t="s">
        <v>134</v>
      </c>
      <c r="F188" s="18">
        <f>INDEX('Hoja 2 - Histórico'!$P$8:$P$19,MATCH(D188,'Hoja 2 - Histórico'!$N$8:$N$19,0))</f>
        <v>64.923333333333346</v>
      </c>
      <c r="G188" s="12">
        <v>57.1</v>
      </c>
      <c r="H188" s="18">
        <f t="shared" si="18"/>
        <v>-7.8233333333333448</v>
      </c>
      <c r="I188" s="17">
        <f t="shared" si="19"/>
        <v>-0.12050110386609862</v>
      </c>
      <c r="J188" s="10" t="s">
        <v>56</v>
      </c>
      <c r="K188" s="10" t="s">
        <v>223</v>
      </c>
      <c r="L188" s="10" t="s">
        <v>224</v>
      </c>
      <c r="M188" s="10" t="s">
        <v>225</v>
      </c>
      <c r="N188" s="15" t="str">
        <f t="shared" si="20"/>
        <v>OK</v>
      </c>
    </row>
    <row r="189" spans="1:14">
      <c r="A189" s="10" t="s">
        <v>181</v>
      </c>
      <c r="B189" s="10" t="s">
        <v>212</v>
      </c>
      <c r="C189" s="10">
        <v>2070</v>
      </c>
      <c r="D189" s="10">
        <v>2</v>
      </c>
      <c r="E189" s="10" t="s">
        <v>141</v>
      </c>
      <c r="F189" s="18">
        <f>INDEX('Hoja 2 - Histórico'!$P$8:$P$19,MATCH(D189,'Hoja 2 - Histórico'!$N$8:$N$19,0))</f>
        <v>75.066666666666677</v>
      </c>
      <c r="G189" s="12">
        <v>66.099999999999994</v>
      </c>
      <c r="H189" s="18">
        <f t="shared" si="18"/>
        <v>-8.9666666666666828</v>
      </c>
      <c r="I189" s="17">
        <f t="shared" si="19"/>
        <v>-0.1194493783303732</v>
      </c>
      <c r="J189" s="10" t="s">
        <v>56</v>
      </c>
      <c r="K189" s="10" t="s">
        <v>223</v>
      </c>
      <c r="L189" s="10" t="s">
        <v>224</v>
      </c>
      <c r="M189" s="10" t="s">
        <v>225</v>
      </c>
      <c r="N189" s="15" t="str">
        <f t="shared" si="20"/>
        <v>OK</v>
      </c>
    </row>
    <row r="190" spans="1:14">
      <c r="A190" s="10" t="s">
        <v>181</v>
      </c>
      <c r="B190" s="10" t="s">
        <v>212</v>
      </c>
      <c r="C190" s="10">
        <v>2070</v>
      </c>
      <c r="D190" s="10">
        <v>3</v>
      </c>
      <c r="E190" s="10" t="s">
        <v>148</v>
      </c>
      <c r="F190" s="18">
        <f>INDEX('Hoja 2 - Histórico'!$P$8:$P$19,MATCH(D190,'Hoja 2 - Histórico'!$N$8:$N$19,0))</f>
        <v>110.1</v>
      </c>
      <c r="G190" s="12">
        <v>96.9</v>
      </c>
      <c r="H190" s="18">
        <f t="shared" si="18"/>
        <v>-13.199999999999989</v>
      </c>
      <c r="I190" s="17">
        <f t="shared" si="19"/>
        <v>-0.11989100817438682</v>
      </c>
      <c r="J190" s="10" t="s">
        <v>56</v>
      </c>
      <c r="K190" s="10" t="s">
        <v>223</v>
      </c>
      <c r="L190" s="10" t="s">
        <v>224</v>
      </c>
      <c r="M190" s="10" t="s">
        <v>225</v>
      </c>
      <c r="N190" s="15" t="str">
        <f t="shared" si="20"/>
        <v>OK</v>
      </c>
    </row>
    <row r="191" spans="1:14">
      <c r="A191" s="10" t="s">
        <v>181</v>
      </c>
      <c r="B191" s="10" t="s">
        <v>212</v>
      </c>
      <c r="C191" s="10">
        <v>2070</v>
      </c>
      <c r="D191" s="10">
        <v>4</v>
      </c>
      <c r="E191" s="10" t="s">
        <v>149</v>
      </c>
      <c r="F191" s="18">
        <f>INDEX('Hoja 2 - Histórico'!$P$8:$P$19,MATCH(D191,'Hoja 2 - Histórico'!$N$8:$N$19,0))</f>
        <v>154.96999999999991</v>
      </c>
      <c r="G191" s="12">
        <v>136.4</v>
      </c>
      <c r="H191" s="18">
        <f t="shared" si="18"/>
        <v>-18.569999999999908</v>
      </c>
      <c r="I191" s="17">
        <f t="shared" si="19"/>
        <v>-0.11982964444731185</v>
      </c>
      <c r="J191" s="10" t="s">
        <v>56</v>
      </c>
      <c r="K191" s="10" t="s">
        <v>223</v>
      </c>
      <c r="L191" s="10" t="s">
        <v>224</v>
      </c>
      <c r="M191" s="10" t="s">
        <v>225</v>
      </c>
      <c r="N191" s="15" t="str">
        <f t="shared" si="20"/>
        <v>OK</v>
      </c>
    </row>
    <row r="192" spans="1:14">
      <c r="A192" s="10" t="s">
        <v>181</v>
      </c>
      <c r="B192" s="10" t="s">
        <v>212</v>
      </c>
      <c r="C192" s="10">
        <v>2070</v>
      </c>
      <c r="D192" s="10">
        <v>5</v>
      </c>
      <c r="E192" s="10" t="s">
        <v>151</v>
      </c>
      <c r="F192" s="18">
        <f>INDEX('Hoja 2 - Histórico'!$P$8:$P$19,MATCH(D192,'Hoja 2 - Histórico'!$N$8:$N$19,0))</f>
        <v>139.87333333333333</v>
      </c>
      <c r="G192" s="12">
        <v>123.1</v>
      </c>
      <c r="H192" s="18">
        <f t="shared" si="18"/>
        <v>-16.773333333333341</v>
      </c>
      <c r="I192" s="17">
        <f t="shared" si="19"/>
        <v>-0.11991802106667943</v>
      </c>
      <c r="J192" s="10" t="s">
        <v>56</v>
      </c>
      <c r="K192" s="10" t="s">
        <v>223</v>
      </c>
      <c r="L192" s="10" t="s">
        <v>224</v>
      </c>
      <c r="M192" s="10" t="s">
        <v>225</v>
      </c>
      <c r="N192" s="15" t="str">
        <f t="shared" si="20"/>
        <v>OK</v>
      </c>
    </row>
    <row r="193" spans="1:14">
      <c r="A193" s="10" t="s">
        <v>181</v>
      </c>
      <c r="B193" s="10" t="s">
        <v>212</v>
      </c>
      <c r="C193" s="10">
        <v>2070</v>
      </c>
      <c r="D193" s="10">
        <v>6</v>
      </c>
      <c r="E193" s="10" t="s">
        <v>152</v>
      </c>
      <c r="F193" s="18">
        <f>INDEX('Hoja 2 - Histórico'!$P$8:$P$19,MATCH(D193,'Hoja 2 - Histórico'!$N$8:$N$19,0))</f>
        <v>84.956666666666663</v>
      </c>
      <c r="G193" s="12">
        <v>74.8</v>
      </c>
      <c r="H193" s="18">
        <f t="shared" si="18"/>
        <v>-10.156666666666666</v>
      </c>
      <c r="I193" s="17">
        <f t="shared" si="19"/>
        <v>-0.119551143720328</v>
      </c>
      <c r="J193" s="10" t="s">
        <v>56</v>
      </c>
      <c r="K193" s="10" t="s">
        <v>223</v>
      </c>
      <c r="L193" s="10" t="s">
        <v>224</v>
      </c>
      <c r="M193" s="10" t="s">
        <v>225</v>
      </c>
      <c r="N193" s="15" t="str">
        <f t="shared" si="20"/>
        <v>OK</v>
      </c>
    </row>
    <row r="194" spans="1:14">
      <c r="A194" s="10" t="s">
        <v>181</v>
      </c>
      <c r="B194" s="10" t="s">
        <v>212</v>
      </c>
      <c r="C194" s="10">
        <v>2070</v>
      </c>
      <c r="D194" s="10">
        <v>7</v>
      </c>
      <c r="E194" s="10" t="s">
        <v>153</v>
      </c>
      <c r="F194" s="18">
        <f>INDEX('Hoja 2 - Histórico'!$P$8:$P$19,MATCH(D194,'Hoja 2 - Histórico'!$N$8:$N$19,0))</f>
        <v>70.029999999999987</v>
      </c>
      <c r="G194" s="12">
        <v>61.6</v>
      </c>
      <c r="H194" s="18">
        <f t="shared" si="18"/>
        <v>-8.4299999999999855</v>
      </c>
      <c r="I194" s="17">
        <f t="shared" si="19"/>
        <v>-0.12037698129373108</v>
      </c>
      <c r="J194" s="10" t="s">
        <v>56</v>
      </c>
      <c r="K194" s="10" t="s">
        <v>223</v>
      </c>
      <c r="L194" s="10" t="s">
        <v>224</v>
      </c>
      <c r="M194" s="10" t="s">
        <v>225</v>
      </c>
      <c r="N194" s="15" t="str">
        <f t="shared" si="20"/>
        <v>OK</v>
      </c>
    </row>
    <row r="195" spans="1:14">
      <c r="A195" s="10" t="s">
        <v>181</v>
      </c>
      <c r="B195" s="10" t="s">
        <v>212</v>
      </c>
      <c r="C195" s="10">
        <v>2070</v>
      </c>
      <c r="D195" s="10">
        <v>8</v>
      </c>
      <c r="E195" s="10" t="s">
        <v>154</v>
      </c>
      <c r="F195" s="18">
        <f>INDEX('Hoja 2 - Histórico'!$P$8:$P$19,MATCH(D195,'Hoja 2 - Histórico'!$N$8:$N$19,0))</f>
        <v>75.036666666666662</v>
      </c>
      <c r="G195" s="12">
        <v>66</v>
      </c>
      <c r="H195" s="18">
        <f t="shared" si="18"/>
        <v>-9.0366666666666617</v>
      </c>
      <c r="I195" s="17">
        <f t="shared" si="19"/>
        <v>-0.12043001199413614</v>
      </c>
      <c r="J195" s="10" t="s">
        <v>56</v>
      </c>
      <c r="K195" s="10" t="s">
        <v>223</v>
      </c>
      <c r="L195" s="10" t="s">
        <v>224</v>
      </c>
      <c r="M195" s="10" t="s">
        <v>225</v>
      </c>
      <c r="N195" s="15" t="str">
        <f t="shared" si="20"/>
        <v>OK</v>
      </c>
    </row>
    <row r="196" spans="1:14">
      <c r="A196" s="10" t="s">
        <v>181</v>
      </c>
      <c r="B196" s="10" t="s">
        <v>212</v>
      </c>
      <c r="C196" s="10">
        <v>2070</v>
      </c>
      <c r="D196" s="10">
        <v>9</v>
      </c>
      <c r="E196" s="10" t="s">
        <v>155</v>
      </c>
      <c r="F196" s="18">
        <f>INDEX('Hoja 2 - Histórico'!$P$8:$P$19,MATCH(D196,'Hoja 2 - Histórico'!$N$8:$N$19,0))</f>
        <v>119.9666666666667</v>
      </c>
      <c r="G196" s="12">
        <v>105.6</v>
      </c>
      <c r="H196" s="18">
        <f t="shared" si="18"/>
        <v>-14.366666666666703</v>
      </c>
      <c r="I196" s="17">
        <f t="shared" si="19"/>
        <v>-0.11975548763545456</v>
      </c>
      <c r="J196" s="10" t="s">
        <v>56</v>
      </c>
      <c r="K196" s="10" t="s">
        <v>223</v>
      </c>
      <c r="L196" s="10" t="s">
        <v>224</v>
      </c>
      <c r="M196" s="10" t="s">
        <v>225</v>
      </c>
      <c r="N196" s="15" t="str">
        <f t="shared" si="20"/>
        <v>OK</v>
      </c>
    </row>
    <row r="197" spans="1:14">
      <c r="A197" s="10" t="s">
        <v>181</v>
      </c>
      <c r="B197" s="10" t="s">
        <v>212</v>
      </c>
      <c r="C197" s="10">
        <v>2070</v>
      </c>
      <c r="D197" s="10">
        <v>10</v>
      </c>
      <c r="E197" s="10" t="s">
        <v>157</v>
      </c>
      <c r="F197" s="18">
        <f>INDEX('Hoja 2 - Histórico'!$P$8:$P$19,MATCH(D197,'Hoja 2 - Histórico'!$N$8:$N$19,0))</f>
        <v>159.85333333333332</v>
      </c>
      <c r="G197" s="12">
        <v>140.69999999999999</v>
      </c>
      <c r="H197" s="18">
        <f t="shared" si="18"/>
        <v>-19.153333333333336</v>
      </c>
      <c r="I197" s="17">
        <f t="shared" si="19"/>
        <v>-0.11981816665276505</v>
      </c>
      <c r="J197" s="10" t="s">
        <v>56</v>
      </c>
      <c r="K197" s="10" t="s">
        <v>223</v>
      </c>
      <c r="L197" s="10" t="s">
        <v>224</v>
      </c>
      <c r="M197" s="10" t="s">
        <v>225</v>
      </c>
      <c r="N197" s="15" t="str">
        <f t="shared" si="20"/>
        <v>OK</v>
      </c>
    </row>
    <row r="198" spans="1:14">
      <c r="A198" s="10" t="s">
        <v>181</v>
      </c>
      <c r="B198" s="10" t="s">
        <v>212</v>
      </c>
      <c r="C198" s="10">
        <v>2070</v>
      </c>
      <c r="D198" s="10">
        <v>11</v>
      </c>
      <c r="E198" s="10" t="s">
        <v>158</v>
      </c>
      <c r="F198" s="18">
        <f>INDEX('Hoja 2 - Histórico'!$P$8:$P$19,MATCH(D198,'Hoja 2 - Histórico'!$N$8:$N$19,0))</f>
        <v>134.94666666666666</v>
      </c>
      <c r="G198" s="12">
        <v>118.8</v>
      </c>
      <c r="H198" s="18">
        <f t="shared" si="18"/>
        <v>-16.146666666666661</v>
      </c>
      <c r="I198" s="17">
        <f t="shared" si="19"/>
        <v>-0.11965220827981421</v>
      </c>
      <c r="J198" s="10" t="s">
        <v>56</v>
      </c>
      <c r="K198" s="10" t="s">
        <v>223</v>
      </c>
      <c r="L198" s="10" t="s">
        <v>224</v>
      </c>
      <c r="M198" s="10" t="s">
        <v>225</v>
      </c>
      <c r="N198" s="15" t="str">
        <f t="shared" si="20"/>
        <v>OK</v>
      </c>
    </row>
    <row r="199" spans="1:14">
      <c r="A199" s="10" t="s">
        <v>181</v>
      </c>
      <c r="B199" s="10" t="s">
        <v>212</v>
      </c>
      <c r="C199" s="10">
        <v>2070</v>
      </c>
      <c r="D199" s="10">
        <v>12</v>
      </c>
      <c r="E199" s="10" t="s">
        <v>164</v>
      </c>
      <c r="F199" s="18">
        <f>INDEX('Hoja 2 - Histórico'!$P$8:$P$19,MATCH(D199,'Hoja 2 - Histórico'!$N$8:$N$19,0))</f>
        <v>80.049999999999983</v>
      </c>
      <c r="G199" s="12">
        <v>70.400000000000006</v>
      </c>
      <c r="H199" s="18">
        <f t="shared" si="18"/>
        <v>-9.6499999999999773</v>
      </c>
      <c r="I199" s="17">
        <f t="shared" si="19"/>
        <v>-0.1205496564647093</v>
      </c>
      <c r="J199" s="10" t="s">
        <v>56</v>
      </c>
      <c r="K199" s="10" t="s">
        <v>223</v>
      </c>
      <c r="L199" s="10" t="s">
        <v>224</v>
      </c>
      <c r="M199" s="10" t="s">
        <v>225</v>
      </c>
      <c r="N199" s="15" t="str">
        <f t="shared" si="20"/>
        <v>OK</v>
      </c>
    </row>
    <row r="200" spans="1:14">
      <c r="A200" s="10" t="s">
        <v>181</v>
      </c>
      <c r="B200" s="10" t="s">
        <v>213</v>
      </c>
      <c r="C200" s="10">
        <v>2090</v>
      </c>
      <c r="D200" s="10">
        <v>1</v>
      </c>
      <c r="E200" s="10" t="s">
        <v>134</v>
      </c>
      <c r="F200" s="18">
        <f>INDEX('Hoja 2 - Histórico'!$P$8:$P$19,MATCH(D200,'Hoja 2 - Histórico'!$N$8:$N$19,0))</f>
        <v>64.923333333333346</v>
      </c>
      <c r="G200" s="12">
        <v>53.2</v>
      </c>
      <c r="H200" s="18">
        <f t="shared" si="18"/>
        <v>-11.723333333333343</v>
      </c>
      <c r="I200" s="17">
        <f t="shared" si="19"/>
        <v>-0.18057195666683792</v>
      </c>
      <c r="J200" s="10" t="s">
        <v>56</v>
      </c>
      <c r="K200" s="10" t="s">
        <v>223</v>
      </c>
      <c r="L200" s="10" t="s">
        <v>224</v>
      </c>
      <c r="M200" s="10" t="s">
        <v>225</v>
      </c>
      <c r="N200" s="15" t="str">
        <f t="shared" si="20"/>
        <v>OK</v>
      </c>
    </row>
    <row r="201" spans="1:14">
      <c r="A201" s="10" t="s">
        <v>181</v>
      </c>
      <c r="B201" s="10" t="s">
        <v>213</v>
      </c>
      <c r="C201" s="10">
        <v>2090</v>
      </c>
      <c r="D201" s="10">
        <v>2</v>
      </c>
      <c r="E201" s="10" t="s">
        <v>141</v>
      </c>
      <c r="F201" s="18">
        <f>INDEX('Hoja 2 - Histórico'!$P$8:$P$19,MATCH(D201,'Hoja 2 - Histórico'!$N$8:$N$19,0))</f>
        <v>75.066666666666677</v>
      </c>
      <c r="G201" s="12">
        <v>61.6</v>
      </c>
      <c r="H201" s="18">
        <f t="shared" si="18"/>
        <v>-13.466666666666676</v>
      </c>
      <c r="I201" s="17">
        <f t="shared" si="19"/>
        <v>-0.17939609236234469</v>
      </c>
      <c r="J201" s="10" t="s">
        <v>56</v>
      </c>
      <c r="K201" s="10" t="s">
        <v>223</v>
      </c>
      <c r="L201" s="10" t="s">
        <v>224</v>
      </c>
      <c r="M201" s="10" t="s">
        <v>225</v>
      </c>
      <c r="N201" s="15" t="str">
        <f t="shared" si="20"/>
        <v>OK</v>
      </c>
    </row>
    <row r="202" spans="1:14">
      <c r="A202" s="10" t="s">
        <v>181</v>
      </c>
      <c r="B202" s="10" t="s">
        <v>213</v>
      </c>
      <c r="C202" s="10">
        <v>2090</v>
      </c>
      <c r="D202" s="10">
        <v>3</v>
      </c>
      <c r="E202" s="10" t="s">
        <v>148</v>
      </c>
      <c r="F202" s="18">
        <f>INDEX('Hoja 2 - Histórico'!$P$8:$P$19,MATCH(D202,'Hoja 2 - Histórico'!$N$8:$N$19,0))</f>
        <v>110.1</v>
      </c>
      <c r="G202" s="12">
        <v>90.3</v>
      </c>
      <c r="H202" s="18">
        <f t="shared" si="18"/>
        <v>-19.799999999999997</v>
      </c>
      <c r="I202" s="17">
        <f t="shared" si="19"/>
        <v>-0.17983651226158037</v>
      </c>
      <c r="J202" s="10" t="s">
        <v>56</v>
      </c>
      <c r="K202" s="10" t="s">
        <v>223</v>
      </c>
      <c r="L202" s="10" t="s">
        <v>224</v>
      </c>
      <c r="M202" s="10" t="s">
        <v>225</v>
      </c>
      <c r="N202" s="15" t="str">
        <f t="shared" si="20"/>
        <v>OK</v>
      </c>
    </row>
    <row r="203" spans="1:14">
      <c r="A203" s="10" t="s">
        <v>181</v>
      </c>
      <c r="B203" s="10" t="s">
        <v>213</v>
      </c>
      <c r="C203" s="10">
        <v>2090</v>
      </c>
      <c r="D203" s="10">
        <v>4</v>
      </c>
      <c r="E203" s="10" t="s">
        <v>149</v>
      </c>
      <c r="F203" s="18">
        <f>INDEX('Hoja 2 - Histórico'!$P$8:$P$19,MATCH(D203,'Hoja 2 - Histórico'!$N$8:$N$19,0))</f>
        <v>154.96999999999991</v>
      </c>
      <c r="G203" s="12">
        <v>127.1</v>
      </c>
      <c r="H203" s="18">
        <f t="shared" si="18"/>
        <v>-27.869999999999919</v>
      </c>
      <c r="I203" s="17">
        <f t="shared" si="19"/>
        <v>-0.17984125959863156</v>
      </c>
      <c r="J203" s="10" t="s">
        <v>56</v>
      </c>
      <c r="K203" s="10" t="s">
        <v>223</v>
      </c>
      <c r="L203" s="10" t="s">
        <v>224</v>
      </c>
      <c r="M203" s="10" t="s">
        <v>225</v>
      </c>
      <c r="N203" s="15" t="str">
        <f t="shared" si="20"/>
        <v>OK</v>
      </c>
    </row>
    <row r="204" spans="1:14">
      <c r="A204" s="10" t="s">
        <v>181</v>
      </c>
      <c r="B204" s="10" t="s">
        <v>213</v>
      </c>
      <c r="C204" s="10">
        <v>2090</v>
      </c>
      <c r="D204" s="10">
        <v>5</v>
      </c>
      <c r="E204" s="10" t="s">
        <v>151</v>
      </c>
      <c r="F204" s="18">
        <f>INDEX('Hoja 2 - Histórico'!$P$8:$P$19,MATCH(D204,'Hoja 2 - Histórico'!$N$8:$N$19,0))</f>
        <v>139.87333333333333</v>
      </c>
      <c r="G204" s="12">
        <v>114.7</v>
      </c>
      <c r="H204" s="18">
        <f t="shared" si="18"/>
        <v>-25.173333333333332</v>
      </c>
      <c r="I204" s="17">
        <f t="shared" si="19"/>
        <v>-0.17997235594108954</v>
      </c>
      <c r="J204" s="10" t="s">
        <v>56</v>
      </c>
      <c r="K204" s="10" t="s">
        <v>223</v>
      </c>
      <c r="L204" s="10" t="s">
        <v>224</v>
      </c>
      <c r="M204" s="10" t="s">
        <v>225</v>
      </c>
      <c r="N204" s="15" t="str">
        <f t="shared" si="20"/>
        <v>OK</v>
      </c>
    </row>
    <row r="205" spans="1:14">
      <c r="A205" s="10" t="s">
        <v>181</v>
      </c>
      <c r="B205" s="10" t="s">
        <v>213</v>
      </c>
      <c r="C205" s="10">
        <v>2090</v>
      </c>
      <c r="D205" s="10">
        <v>6</v>
      </c>
      <c r="E205" s="10" t="s">
        <v>152</v>
      </c>
      <c r="F205" s="18">
        <f>INDEX('Hoja 2 - Histórico'!$P$8:$P$19,MATCH(D205,'Hoja 2 - Histórico'!$N$8:$N$19,0))</f>
        <v>84.956666666666663</v>
      </c>
      <c r="G205" s="12">
        <v>69.7</v>
      </c>
      <c r="H205" s="18">
        <f t="shared" si="18"/>
        <v>-15.256666666666661</v>
      </c>
      <c r="I205" s="17">
        <f t="shared" si="19"/>
        <v>-0.1795817475575783</v>
      </c>
      <c r="J205" s="10" t="s">
        <v>56</v>
      </c>
      <c r="K205" s="10" t="s">
        <v>223</v>
      </c>
      <c r="L205" s="10" t="s">
        <v>224</v>
      </c>
      <c r="M205" s="10" t="s">
        <v>225</v>
      </c>
      <c r="N205" s="15" t="str">
        <f t="shared" si="20"/>
        <v>OK</v>
      </c>
    </row>
    <row r="206" spans="1:14">
      <c r="A206" s="10" t="s">
        <v>181</v>
      </c>
      <c r="B206" s="10" t="s">
        <v>213</v>
      </c>
      <c r="C206" s="10">
        <v>2090</v>
      </c>
      <c r="D206" s="10">
        <v>7</v>
      </c>
      <c r="E206" s="10" t="s">
        <v>153</v>
      </c>
      <c r="F206" s="18">
        <f>INDEX('Hoja 2 - Histórico'!$P$8:$P$19,MATCH(D206,'Hoja 2 - Histórico'!$N$8:$N$19,0))</f>
        <v>70.029999999999987</v>
      </c>
      <c r="G206" s="12">
        <v>57.4</v>
      </c>
      <c r="H206" s="18">
        <f t="shared" si="18"/>
        <v>-12.629999999999988</v>
      </c>
      <c r="I206" s="17">
        <f t="shared" si="19"/>
        <v>-0.18035127802370399</v>
      </c>
      <c r="J206" s="10" t="s">
        <v>56</v>
      </c>
      <c r="K206" s="10" t="s">
        <v>223</v>
      </c>
      <c r="L206" s="10" t="s">
        <v>224</v>
      </c>
      <c r="M206" s="10" t="s">
        <v>225</v>
      </c>
      <c r="N206" s="15" t="str">
        <f t="shared" si="20"/>
        <v>OK</v>
      </c>
    </row>
    <row r="207" spans="1:14">
      <c r="A207" s="10" t="s">
        <v>181</v>
      </c>
      <c r="B207" s="10" t="s">
        <v>213</v>
      </c>
      <c r="C207" s="10">
        <v>2090</v>
      </c>
      <c r="D207" s="10">
        <v>8</v>
      </c>
      <c r="E207" s="10" t="s">
        <v>154</v>
      </c>
      <c r="F207" s="18">
        <f>INDEX('Hoja 2 - Histórico'!$P$8:$P$19,MATCH(D207,'Hoja 2 - Histórico'!$N$8:$N$19,0))</f>
        <v>75.036666666666662</v>
      </c>
      <c r="G207" s="12">
        <v>61.5</v>
      </c>
      <c r="H207" s="18">
        <f t="shared" si="18"/>
        <v>-13.536666666666662</v>
      </c>
      <c r="I207" s="17">
        <f t="shared" si="19"/>
        <v>-0.18040069299453595</v>
      </c>
      <c r="J207" s="10" t="s">
        <v>56</v>
      </c>
      <c r="K207" s="10" t="s">
        <v>223</v>
      </c>
      <c r="L207" s="10" t="s">
        <v>224</v>
      </c>
      <c r="M207" s="10" t="s">
        <v>225</v>
      </c>
      <c r="N207" s="15" t="str">
        <f t="shared" si="20"/>
        <v>OK</v>
      </c>
    </row>
    <row r="208" spans="1:14">
      <c r="A208" s="10" t="s">
        <v>181</v>
      </c>
      <c r="B208" s="10" t="s">
        <v>213</v>
      </c>
      <c r="C208" s="10">
        <v>2090</v>
      </c>
      <c r="D208" s="10">
        <v>9</v>
      </c>
      <c r="E208" s="10" t="s">
        <v>155</v>
      </c>
      <c r="F208" s="18">
        <f>INDEX('Hoja 2 - Histórico'!$P$8:$P$19,MATCH(D208,'Hoja 2 - Histórico'!$N$8:$N$19,0))</f>
        <v>119.9666666666667</v>
      </c>
      <c r="G208" s="12">
        <v>98.4</v>
      </c>
      <c r="H208" s="18">
        <f t="shared" si="18"/>
        <v>-21.566666666666691</v>
      </c>
      <c r="I208" s="17">
        <f t="shared" si="19"/>
        <v>-0.17977215893303711</v>
      </c>
      <c r="J208" s="10" t="s">
        <v>56</v>
      </c>
      <c r="K208" s="10" t="s">
        <v>223</v>
      </c>
      <c r="L208" s="10" t="s">
        <v>224</v>
      </c>
      <c r="M208" s="10" t="s">
        <v>225</v>
      </c>
      <c r="N208" s="15" t="str">
        <f t="shared" si="20"/>
        <v>OK</v>
      </c>
    </row>
    <row r="209" spans="1:14">
      <c r="A209" s="10" t="s">
        <v>181</v>
      </c>
      <c r="B209" s="10" t="s">
        <v>213</v>
      </c>
      <c r="C209" s="10">
        <v>2090</v>
      </c>
      <c r="D209" s="10">
        <v>10</v>
      </c>
      <c r="E209" s="10" t="s">
        <v>157</v>
      </c>
      <c r="F209" s="18">
        <f>INDEX('Hoja 2 - Histórico'!$P$8:$P$19,MATCH(D209,'Hoja 2 - Histórico'!$N$8:$N$19,0))</f>
        <v>159.85333333333332</v>
      </c>
      <c r="G209" s="12">
        <v>131.1</v>
      </c>
      <c r="H209" s="18">
        <f t="shared" si="18"/>
        <v>-28.75333333333333</v>
      </c>
      <c r="I209" s="17">
        <f t="shared" si="19"/>
        <v>-0.17987321711568938</v>
      </c>
      <c r="J209" s="10" t="s">
        <v>56</v>
      </c>
      <c r="K209" s="10" t="s">
        <v>223</v>
      </c>
      <c r="L209" s="10" t="s">
        <v>224</v>
      </c>
      <c r="M209" s="10" t="s">
        <v>225</v>
      </c>
      <c r="N209" s="15" t="str">
        <f t="shared" si="20"/>
        <v>OK</v>
      </c>
    </row>
    <row r="210" spans="1:14">
      <c r="A210" s="10" t="s">
        <v>181</v>
      </c>
      <c r="B210" s="10" t="s">
        <v>213</v>
      </c>
      <c r="C210" s="10">
        <v>2090</v>
      </c>
      <c r="D210" s="10">
        <v>11</v>
      </c>
      <c r="E210" s="10" t="s">
        <v>158</v>
      </c>
      <c r="F210" s="18">
        <f>INDEX('Hoja 2 - Histórico'!$P$8:$P$19,MATCH(D210,'Hoja 2 - Histórico'!$N$8:$N$19,0))</f>
        <v>134.94666666666666</v>
      </c>
      <c r="G210" s="12">
        <v>110.7</v>
      </c>
      <c r="H210" s="18">
        <f t="shared" si="18"/>
        <v>-24.246666666666655</v>
      </c>
      <c r="I210" s="17">
        <f t="shared" si="19"/>
        <v>-0.17967592135164503</v>
      </c>
      <c r="J210" s="10" t="s">
        <v>56</v>
      </c>
      <c r="K210" s="10" t="s">
        <v>223</v>
      </c>
      <c r="L210" s="10" t="s">
        <v>224</v>
      </c>
      <c r="M210" s="10" t="s">
        <v>225</v>
      </c>
      <c r="N210" s="15" t="str">
        <f t="shared" si="20"/>
        <v>OK</v>
      </c>
    </row>
    <row r="211" spans="1:14">
      <c r="A211" s="10" t="s">
        <v>181</v>
      </c>
      <c r="B211" s="10" t="s">
        <v>213</v>
      </c>
      <c r="C211" s="10">
        <v>2090</v>
      </c>
      <c r="D211" s="10">
        <v>12</v>
      </c>
      <c r="E211" s="10" t="s">
        <v>164</v>
      </c>
      <c r="F211" s="18">
        <f>INDEX('Hoja 2 - Histórico'!$P$8:$P$19,MATCH(D211,'Hoja 2 - Histórico'!$N$8:$N$19,0))</f>
        <v>80.049999999999983</v>
      </c>
      <c r="G211" s="12">
        <v>65.599999999999994</v>
      </c>
      <c r="H211" s="18">
        <f t="shared" si="18"/>
        <v>-14.449999999999989</v>
      </c>
      <c r="I211" s="17">
        <f t="shared" si="19"/>
        <v>-0.18051217988757018</v>
      </c>
      <c r="J211" s="10" t="s">
        <v>56</v>
      </c>
      <c r="K211" s="10" t="s">
        <v>223</v>
      </c>
      <c r="L211" s="10" t="s">
        <v>224</v>
      </c>
      <c r="M211" s="10" t="s">
        <v>225</v>
      </c>
      <c r="N211" s="15" t="str">
        <f t="shared" si="20"/>
        <v>OK</v>
      </c>
    </row>
  </sheetData>
  <mergeCells count="7">
    <mergeCell ref="A17:N17"/>
    <mergeCell ref="P46:Z50"/>
    <mergeCell ref="A1:Z1"/>
    <mergeCell ref="A2:Z3"/>
    <mergeCell ref="A6:N6"/>
    <mergeCell ref="A12:N14"/>
    <mergeCell ref="P6:T6"/>
  </mergeCells>
  <conditionalFormatting sqref="I20:I211">
    <cfRule type="cellIs" dxfId="11" priority="13" operator="lessThan">
      <formula>0</formula>
    </cfRule>
    <cfRule type="cellIs" dxfId="10" priority="14" operator="greaterThan">
      <formula>0</formula>
    </cfRule>
  </conditionalFormatting>
  <conditionalFormatting sqref="N10">
    <cfRule type="containsText" dxfId="9" priority="1" operator="containsText" text="OK"/>
    <cfRule type="containsText" dxfId="8" priority="3" operator="containsText" text="REVISAR"/>
    <cfRule type="containsText" dxfId="7" priority="4" operator="containsText" text="FALTANTE"/>
    <cfRule type="containsText" dxfId="6" priority="5" operator="containsText" text="NEGATIVO"/>
    <cfRule type="containsText" dxfId="5" priority="6" operator="containsText" text="DUPLICADO"/>
  </conditionalFormatting>
  <conditionalFormatting sqref="N20:N211">
    <cfRule type="containsText" dxfId="4" priority="7" operator="containsText" text="OK"/>
    <cfRule type="containsText" dxfId="3" priority="9" operator="containsText" text="REVISAR"/>
    <cfRule type="containsText" dxfId="2" priority="10" operator="containsText" text="FALTANTE"/>
    <cfRule type="containsText" dxfId="1" priority="11" operator="containsText" text="NEGATIVO"/>
    <cfRule type="containsText" dxfId="0" priority="12" operator="containsText" text="DUPLICADO"/>
  </conditionalFormatting>
  <dataValidations count="3">
    <dataValidation type="list" sqref="A20:A211" xr:uid="{00000000-0002-0000-0200-000000000000}">
      <formula1>"SSP1-2.6,SSP2-4.5,SSP3-7.0,SSP5-8.5"</formula1>
    </dataValidation>
    <dataValidation type="list" sqref="B20:B211" xr:uid="{00000000-0002-0000-0200-000001000000}">
      <formula1>"2021-2040,2041-2060,2061-2080,2081-2100"</formula1>
    </dataValidation>
    <dataValidation type="list" sqref="J20:J211" xr:uid="{00000000-0002-0000-0200-000002000000}">
      <formula1>"mm,cm,m"</formula1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252A1EF3BD024F856B47B579AB5244" ma:contentTypeVersion="12" ma:contentTypeDescription="Crear nuevo documento." ma:contentTypeScope="" ma:versionID="32d0e18b85ac20c34eab62df21c0cf58">
  <xsd:schema xmlns:xsd="http://www.w3.org/2001/XMLSchema" xmlns:xs="http://www.w3.org/2001/XMLSchema" xmlns:p="http://schemas.microsoft.com/office/2006/metadata/properties" xmlns:ns2="42760c81-fd8e-4d59-8953-7cdb9f38b14f" xmlns:ns3="67a0edcd-0de5-43ed-8c27-e32f38a00c91" targetNamespace="http://schemas.microsoft.com/office/2006/metadata/properties" ma:root="true" ma:fieldsID="cc2c149e99f10870fd5bc3964e5386d3" ns2:_="" ns3:_="">
    <xsd:import namespace="42760c81-fd8e-4d59-8953-7cdb9f38b14f"/>
    <xsd:import namespace="67a0edcd-0de5-43ed-8c27-e32f38a00c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60c81-fd8e-4d59-8953-7cdb9f38b1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a0edcd-0de5-43ed-8c27-e32f38a00c9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a3f4dd0-997b-4bf3-ab2c-d58d0ea4cbc8}" ma:internalName="TaxCatchAll" ma:showField="CatchAllData" ma:web="67a0edcd-0de5-43ed-8c27-e32f38a00c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760c81-fd8e-4d59-8953-7cdb9f38b14f">
      <Terms xmlns="http://schemas.microsoft.com/office/infopath/2007/PartnerControls"/>
    </lcf76f155ced4ddcb4097134ff3c332f>
    <TaxCatchAll xmlns="67a0edcd-0de5-43ed-8c27-e32f38a00c91" xsi:nil="true"/>
  </documentManagement>
</p:properties>
</file>

<file path=customXml/itemProps1.xml><?xml version="1.0" encoding="utf-8"?>
<ds:datastoreItem xmlns:ds="http://schemas.openxmlformats.org/officeDocument/2006/customXml" ds:itemID="{3571EB3A-F802-4F16-850D-E3792EA8330E}"/>
</file>

<file path=customXml/itemProps2.xml><?xml version="1.0" encoding="utf-8"?>
<ds:datastoreItem xmlns:ds="http://schemas.openxmlformats.org/officeDocument/2006/customXml" ds:itemID="{04C2F5E5-292A-4FB9-A1CA-4CBDE46F0AF1}"/>
</file>

<file path=customXml/itemProps3.xml><?xml version="1.0" encoding="utf-8"?>
<ds:datastoreItem xmlns:ds="http://schemas.openxmlformats.org/officeDocument/2006/customXml" ds:itemID="{5536F317-E4EC-4913-B46C-B4078CE8CC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 de uso</vt:lpstr>
      <vt:lpstr>Hoja 1 - Área y fuentes</vt:lpstr>
      <vt:lpstr>Hoja 2 - Histórico</vt:lpstr>
      <vt:lpstr>Hoja 3 - Proyecciones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VEGA</dc:creator>
  <cp:lastModifiedBy>Margarita Ines Viloria Villegas</cp:lastModifiedBy>
  <dcterms:modified xsi:type="dcterms:W3CDTF">2026-08-19T20:22:32Z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2026-08-19T20:19:27Z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933ee7a1-2299-4762-afa5-dd2b6e08bb66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  <property fmtid="{D5CDD505-2E9C-101B-9397-08002B2CF9AE}" pid="10" name="ContentTypeId">
    <vt:lpwstr>0x01010005252A1EF3BD024F856B47B579AB5244</vt:lpwstr>
  </property>
  <property fmtid="{D5CDD505-2E9C-101B-9397-08002B2CF9AE}" pid="11" name="MediaServiceImageTags">
    <vt:lpwstr/>
  </property>
</Properties>
</file>